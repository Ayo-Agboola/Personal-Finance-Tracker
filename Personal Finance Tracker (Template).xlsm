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13_ncr:1_{A3DFEDF0-7763-4AF6-92A2-6931886EF85D}" xr6:coauthVersionLast="47" xr6:coauthVersionMax="47" xr10:uidLastSave="{00000000-0000-0000-0000-000000000000}"/>
  <bookViews>
    <workbookView xWindow="-108" yWindow="-108" windowWidth="23256" windowHeight="12576" activeTab="1" xr2:uid="{EC8A6457-E2DE-4382-B8EE-6FBFD002DEC6}"/>
  </bookViews>
  <sheets>
    <sheet name="Instructions" sheetId="8" r:id="rId1"/>
    <sheet name="Dashboard" sheetId="1" r:id="rId2"/>
    <sheet name="Data Entry" sheetId="9" r:id="rId3"/>
    <sheet name="Income" sheetId="2" r:id="rId4"/>
    <sheet name="Expenses" sheetId="3" r:id="rId5"/>
    <sheet name="Budget" sheetId="4" r:id="rId6"/>
    <sheet name="Pivot Table" sheetId="6" r:id="rId7"/>
    <sheet name="Categories" sheetId="5" r:id="rId8"/>
  </sheets>
  <definedNames>
    <definedName name="Slicer_Expense_Category">#N/A</definedName>
    <definedName name="Slicer_Month">#N/A</definedName>
  </definedNames>
  <calcPr calcId="191029"/>
  <pivotCaches>
    <pivotCache cacheId="47"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3" l="1"/>
  <c r="G2" i="3"/>
  <c r="F2" i="2"/>
  <c r="E2" i="2"/>
  <c r="G5" i="1"/>
  <c r="E5" i="1"/>
  <c r="A3" i="1"/>
  <c r="A6" i="1"/>
  <c r="C2" i="4"/>
  <c r="D2" i="4" s="1"/>
  <c r="E2" i="4" s="1"/>
  <c r="C3" i="4"/>
  <c r="D3" i="4" s="1"/>
  <c r="E3" i="4" s="1"/>
  <c r="C4" i="4"/>
  <c r="D4" i="4" s="1"/>
  <c r="E4" i="4" s="1"/>
  <c r="C5" i="4"/>
  <c r="D5" i="4" s="1"/>
  <c r="E5" i="4" s="1"/>
  <c r="C6" i="4"/>
  <c r="D6" i="4" s="1"/>
  <c r="E6" i="4" s="1"/>
  <c r="C7" i="4"/>
  <c r="D7" i="4" s="1"/>
  <c r="E7" i="4" s="1"/>
  <c r="C8" i="4"/>
  <c r="D8" i="4" s="1"/>
  <c r="E8" i="4" s="1"/>
  <c r="C9" i="4"/>
  <c r="D9" i="4" s="1"/>
  <c r="E9" i="4" s="1"/>
  <c r="C10" i="4"/>
  <c r="D10" i="4" s="1"/>
  <c r="E10" i="4" s="1"/>
  <c r="C11" i="4"/>
  <c r="D11" i="4" s="1"/>
  <c r="E11" i="4" s="1"/>
  <c r="C12" i="4"/>
  <c r="D12" i="4" s="1"/>
  <c r="E12" i="4" s="1"/>
  <c r="C13" i="4"/>
  <c r="D13" i="4" s="1"/>
  <c r="E13" i="4" s="1"/>
  <c r="C14" i="4"/>
  <c r="D14" i="4" s="1"/>
  <c r="E14" i="4" s="1"/>
  <c r="C15" i="4"/>
  <c r="D15" i="4" s="1"/>
  <c r="E15" i="4" s="1"/>
  <c r="C3" i="1" l="1"/>
  <c r="C6" i="1"/>
</calcChain>
</file>

<file path=xl/sharedStrings.xml><?xml version="1.0" encoding="utf-8"?>
<sst xmlns="http://schemas.openxmlformats.org/spreadsheetml/2006/main" count="140" uniqueCount="93">
  <si>
    <t>Expenses Categories</t>
  </si>
  <si>
    <t>Food</t>
  </si>
  <si>
    <t>Transport</t>
  </si>
  <si>
    <t>Rent</t>
  </si>
  <si>
    <t>Utilities</t>
  </si>
  <si>
    <t>Internet</t>
  </si>
  <si>
    <t>Entertainment</t>
  </si>
  <si>
    <t>Shopping</t>
  </si>
  <si>
    <t>Health</t>
  </si>
  <si>
    <t>Education</t>
  </si>
  <si>
    <t>Family</t>
  </si>
  <si>
    <t>Savings</t>
  </si>
  <si>
    <t>Investment</t>
  </si>
  <si>
    <t>Debt Repayment</t>
  </si>
  <si>
    <t>Miscellaneous</t>
  </si>
  <si>
    <t>Income Sources</t>
  </si>
  <si>
    <t>Salary</t>
  </si>
  <si>
    <t>Business</t>
  </si>
  <si>
    <t>Freelance</t>
  </si>
  <si>
    <t>Gift</t>
  </si>
  <si>
    <t>Bonus</t>
  </si>
  <si>
    <t>Other</t>
  </si>
  <si>
    <t>Payment Method</t>
  </si>
  <si>
    <t xml:space="preserve">Cash </t>
  </si>
  <si>
    <t>Bank Transfer</t>
  </si>
  <si>
    <t>Debit Card</t>
  </si>
  <si>
    <t>Credit Card</t>
  </si>
  <si>
    <t>Mobile Wallet</t>
  </si>
  <si>
    <t>Need</t>
  </si>
  <si>
    <t>Want</t>
  </si>
  <si>
    <t>Type</t>
  </si>
  <si>
    <t>Date</t>
  </si>
  <si>
    <t>Income Source</t>
  </si>
  <si>
    <t>Description</t>
  </si>
  <si>
    <t>Month</t>
  </si>
  <si>
    <t>Year</t>
  </si>
  <si>
    <t>Expense Category</t>
  </si>
  <si>
    <t>Expense Description</t>
  </si>
  <si>
    <t>Need/Want</t>
  </si>
  <si>
    <t>Status</t>
  </si>
  <si>
    <t>Total Income</t>
  </si>
  <si>
    <t>Total Expenses</t>
  </si>
  <si>
    <t>Number of Expenses</t>
  </si>
  <si>
    <t>Budget Remaining</t>
  </si>
  <si>
    <t>Amount</t>
  </si>
  <si>
    <t>Variance</t>
  </si>
  <si>
    <t>Actual</t>
  </si>
  <si>
    <t>Budget</t>
  </si>
  <si>
    <t>Grand Total</t>
  </si>
  <si>
    <t>Monthly Expenses</t>
  </si>
  <si>
    <t>PERSONAL FINANCE DASHBOARD</t>
  </si>
  <si>
    <t>January</t>
  </si>
  <si>
    <t>Largest Expenses</t>
  </si>
  <si>
    <t>Months</t>
  </si>
  <si>
    <t>PERSONAL FINANCE TRACKER - USER GUIDE</t>
  </si>
  <si>
    <t>Purpose</t>
  </si>
  <si>
    <t>The Workbook helps users record income and expenses , monitor budgets, and view financial performance through</t>
  </si>
  <si>
    <t>an interactive dashboard.</t>
  </si>
  <si>
    <t>How to Record Income</t>
  </si>
  <si>
    <t xml:space="preserve">Add new records by using the next table row. </t>
  </si>
  <si>
    <t>Open the Income sheet.</t>
  </si>
  <si>
    <t>Enter the Date.</t>
  </si>
  <si>
    <t>Select the Income Source.</t>
  </si>
  <si>
    <t>Enter a Description.</t>
  </si>
  <si>
    <t>Enter the Amount.</t>
  </si>
  <si>
    <t>How to Record Expenses</t>
  </si>
  <si>
    <t>Open the Expenses Sheet.</t>
  </si>
  <si>
    <t>Choose an Expense Category.</t>
  </si>
  <si>
    <t>Select Need/Want.</t>
  </si>
  <si>
    <t>Select the Payment Method.</t>
  </si>
  <si>
    <t>Refresh the Dashboard</t>
  </si>
  <si>
    <r>
      <t xml:space="preserve">After entering new data, go to </t>
    </r>
    <r>
      <rPr>
        <b/>
        <sz val="11"/>
        <color theme="1"/>
        <rFont val="Calibri"/>
        <family val="2"/>
        <scheme val="minor"/>
      </rPr>
      <t>Data - Refresh All</t>
    </r>
  </si>
  <si>
    <t>The PivotTables, charts, and dashboard will update.</t>
  </si>
  <si>
    <t>Dashboard Overview</t>
  </si>
  <si>
    <t>The Dashboard displays :</t>
  </si>
  <si>
    <t>Expenses by Category</t>
  </si>
  <si>
    <t>Monthly Spending Trend</t>
  </si>
  <si>
    <t>Do not delete table headers</t>
  </si>
  <si>
    <t>Do not edit formula cells</t>
  </si>
  <si>
    <t>Always enter new records within the table</t>
  </si>
  <si>
    <t xml:space="preserve"> 🏠 Go to Dashboard</t>
  </si>
  <si>
    <t>🏠 Go to Dashboard</t>
  </si>
  <si>
    <t>🏠Go to Dashboard</t>
  </si>
  <si>
    <t>(blank)</t>
  </si>
  <si>
    <t>PERSONAL FINANCE DATA ENTRY</t>
  </si>
  <si>
    <t>INCOME ENTRY</t>
  </si>
  <si>
    <t xml:space="preserve">Date </t>
  </si>
  <si>
    <t>EXPENSE ENTRY</t>
  </si>
  <si>
    <r>
      <t xml:space="preserve">Click </t>
    </r>
    <r>
      <rPr>
        <b/>
        <sz val="14"/>
        <color rgb="FFFF0000"/>
        <rFont val="Calibri"/>
        <family val="2"/>
        <scheme val="minor"/>
      </rPr>
      <t xml:space="preserve">Enable Content </t>
    </r>
    <r>
      <rPr>
        <sz val="14"/>
        <color rgb="FFFF0000"/>
        <rFont val="Calibri"/>
        <family val="2"/>
        <scheme val="minor"/>
      </rPr>
      <t>if Prompted</t>
    </r>
  </si>
  <si>
    <t>Important Notes</t>
  </si>
  <si>
    <t>Use the Data Entry Sheet to record transactions</t>
  </si>
  <si>
    <t>Developed By :</t>
  </si>
  <si>
    <t>Ayomide Emmanuel Agboola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</si>
</sst>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 mmm\ yyyy;@" x16r2:formatCode16="[$-en-NG,1]d\ mmm\ yyyy;@"/>
    <numFmt numFmtId="165" formatCode="&quot;₦&quot;#,##0.00"/>
  </numFmts>
  <fonts count="18" x14ac:knownFonts="1">
    <font>
      <sz val="11"/>
      <color theme="1"/>
      <name val="Calibri"/>
      <family val="2"/>
      <scheme val="minor"/>
    </font>
    <font>
      <b/>
      <sz val="11"/>
      <color theme="1"/>
      <name val="Calibri"/>
      <family val="2"/>
      <scheme val="minor"/>
    </font>
    <font>
      <b/>
      <sz val="12"/>
      <color theme="1"/>
      <name val="Calibri"/>
      <family val="2"/>
      <scheme val="minor"/>
    </font>
    <font>
      <b/>
      <sz val="20"/>
      <color theme="1"/>
      <name val="Calibri"/>
      <family val="2"/>
      <scheme val="minor"/>
    </font>
    <font>
      <sz val="20"/>
      <color theme="1"/>
      <name val="Calibri"/>
      <family val="2"/>
      <scheme val="minor"/>
    </font>
    <font>
      <b/>
      <sz val="11"/>
      <color theme="4" tint="-0.499984740745262"/>
      <name val="Calibri"/>
      <family val="2"/>
      <scheme val="minor"/>
    </font>
    <font>
      <b/>
      <sz val="12"/>
      <color theme="4" tint="-0.499984740745262"/>
      <name val="Calibri"/>
      <family val="2"/>
      <scheme val="minor"/>
    </font>
    <font>
      <b/>
      <sz val="22"/>
      <color theme="4" tint="-0.499984740745262"/>
      <name val="Calibri"/>
      <family val="2"/>
      <scheme val="minor"/>
    </font>
    <font>
      <b/>
      <sz val="20"/>
      <color theme="4" tint="-0.499984740745262"/>
      <name val="Calibri"/>
      <family val="2"/>
      <scheme val="minor"/>
    </font>
    <font>
      <sz val="11"/>
      <color theme="4" tint="-0.499984740745262"/>
      <name val="Calibri"/>
      <family val="2"/>
      <scheme val="minor"/>
    </font>
    <font>
      <sz val="11"/>
      <color rgb="FFFF0000"/>
      <name val="Calibri"/>
      <family val="2"/>
      <scheme val="minor"/>
    </font>
    <font>
      <u/>
      <sz val="11"/>
      <color theme="10"/>
      <name val="Calibri"/>
      <family val="2"/>
      <scheme val="minor"/>
    </font>
    <font>
      <sz val="11"/>
      <color theme="1"/>
      <name val="Segoe UI Symbol"/>
      <family val="2"/>
    </font>
    <font>
      <b/>
      <sz val="20"/>
      <color theme="8" tint="-0.499984740745262"/>
      <name val="Calibri"/>
      <family val="2"/>
      <scheme val="minor"/>
    </font>
    <font>
      <sz val="11"/>
      <color theme="8" tint="-0.499984740745262"/>
      <name val="Calibri"/>
      <family val="2"/>
      <scheme val="minor"/>
    </font>
    <font>
      <sz val="11"/>
      <name val="Calibri"/>
      <family val="2"/>
      <scheme val="minor"/>
    </font>
    <font>
      <sz val="14"/>
      <color rgb="FFFF0000"/>
      <name val="Calibri"/>
      <family val="2"/>
      <scheme val="minor"/>
    </font>
    <font>
      <b/>
      <sz val="14"/>
      <color rgb="FFFF0000"/>
      <name val="Calibri"/>
      <family val="2"/>
      <scheme val="minor"/>
    </font>
  </fonts>
  <fills count="10">
    <fill>
      <patternFill patternType="none"/>
    </fill>
    <fill>
      <patternFill patternType="gray125"/>
    </fill>
    <fill>
      <patternFill patternType="solid">
        <fgColor theme="1"/>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6" tint="-0.249977111117893"/>
        <bgColor indexed="64"/>
      </patternFill>
    </fill>
    <fill>
      <patternFill patternType="solid">
        <fgColor theme="0"/>
        <bgColor indexed="64"/>
      </patternFill>
    </fill>
  </fills>
  <borders count="13">
    <border>
      <left/>
      <right/>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s>
  <cellStyleXfs count="2">
    <xf numFmtId="0" fontId="0" fillId="0" borderId="0"/>
    <xf numFmtId="0" fontId="11" fillId="0" borderId="0" applyNumberFormat="0" applyFill="0" applyBorder="0" applyAlignment="0" applyProtection="0"/>
  </cellStyleXfs>
  <cellXfs count="67">
    <xf numFmtId="0" fontId="0" fillId="0" borderId="0" xfId="0"/>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0" fillId="6" borderId="1" xfId="0" applyFill="1" applyBorder="1"/>
    <xf numFmtId="0" fontId="0" fillId="0" borderId="1" xfId="0" applyBorder="1"/>
    <xf numFmtId="0" fontId="2" fillId="7" borderId="0" xfId="0" applyFont="1" applyFill="1" applyAlignment="1">
      <alignment horizontal="center"/>
    </xf>
    <xf numFmtId="165" fontId="0" fillId="0" borderId="0" xfId="0" applyNumberFormat="1"/>
    <xf numFmtId="0" fontId="2" fillId="8" borderId="0" xfId="0" applyFont="1" applyFill="1" applyAlignment="1">
      <alignment horizontal="center"/>
    </xf>
    <xf numFmtId="0" fontId="0" fillId="5" borderId="0" xfId="0" applyFill="1"/>
    <xf numFmtId="165" fontId="0" fillId="5" borderId="0" xfId="0" applyNumberFormat="1" applyFill="1"/>
    <xf numFmtId="0" fontId="0" fillId="0" borderId="0" xfId="0" pivotButton="1"/>
    <xf numFmtId="0" fontId="0" fillId="0" borderId="0" xfId="0" applyAlignment="1">
      <alignment horizontal="left"/>
    </xf>
    <xf numFmtId="0" fontId="1" fillId="0" borderId="0" xfId="0" applyFont="1"/>
    <xf numFmtId="165" fontId="1" fillId="0" borderId="0" xfId="0" applyNumberFormat="1" applyFont="1"/>
    <xf numFmtId="0" fontId="5" fillId="0" borderId="0" xfId="0" applyFont="1" applyAlignment="1">
      <alignment horizontal="center"/>
    </xf>
    <xf numFmtId="0" fontId="1" fillId="0" borderId="0" xfId="0" applyFont="1" applyAlignment="1">
      <alignment horizontal="center" vertical="center"/>
    </xf>
    <xf numFmtId="164" fontId="2" fillId="7" borderId="0" xfId="0" applyNumberFormat="1" applyFont="1" applyFill="1" applyAlignment="1" applyProtection="1">
      <alignment horizontal="center"/>
      <protection locked="0"/>
    </xf>
    <xf numFmtId="164" fontId="0" fillId="0" borderId="0" xfId="0" applyNumberFormat="1" applyProtection="1">
      <protection locked="0"/>
    </xf>
    <xf numFmtId="0" fontId="2" fillId="7" borderId="0" xfId="0" applyFont="1" applyFill="1" applyAlignment="1" applyProtection="1">
      <alignment horizontal="center"/>
      <protection locked="0"/>
    </xf>
    <xf numFmtId="0" fontId="0" fillId="0" borderId="0" xfId="0" applyProtection="1">
      <protection locked="0"/>
    </xf>
    <xf numFmtId="165" fontId="2" fillId="7" borderId="0" xfId="0" applyNumberFormat="1" applyFont="1" applyFill="1" applyAlignment="1" applyProtection="1">
      <alignment horizontal="center"/>
      <protection locked="0"/>
    </xf>
    <xf numFmtId="165" fontId="0" fillId="0" borderId="0" xfId="0" applyNumberFormat="1" applyProtection="1">
      <protection locked="0"/>
    </xf>
    <xf numFmtId="164" fontId="2" fillId="8" borderId="0" xfId="0" applyNumberFormat="1" applyFont="1" applyFill="1" applyAlignment="1" applyProtection="1">
      <alignment horizontal="center"/>
      <protection locked="0"/>
    </xf>
    <xf numFmtId="0" fontId="2" fillId="8" borderId="0" xfId="0" applyFont="1" applyFill="1" applyAlignment="1" applyProtection="1">
      <alignment horizontal="center"/>
      <protection locked="0"/>
    </xf>
    <xf numFmtId="165" fontId="2" fillId="8" borderId="0" xfId="0" applyNumberFormat="1" applyFont="1" applyFill="1" applyAlignment="1" applyProtection="1">
      <alignment horizontal="center"/>
      <protection locked="0"/>
    </xf>
    <xf numFmtId="0" fontId="0" fillId="0" borderId="2" xfId="0" applyBorder="1"/>
    <xf numFmtId="0" fontId="0" fillId="0" borderId="3" xfId="0" applyBorder="1" applyAlignment="1">
      <alignment horizontal="left"/>
    </xf>
    <xf numFmtId="0" fontId="0" fillId="0" borderId="5" xfId="0" applyBorder="1" applyAlignment="1">
      <alignment horizontal="left"/>
    </xf>
    <xf numFmtId="0" fontId="0" fillId="0" borderId="4" xfId="0" applyBorder="1" applyAlignment="1">
      <alignment horizontal="left"/>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3" xfId="0" applyFont="1" applyBorder="1" applyAlignment="1">
      <alignment horizontal="left"/>
    </xf>
    <xf numFmtId="0" fontId="1" fillId="0" borderId="5" xfId="0" applyFont="1" applyBorder="1" applyAlignment="1">
      <alignment horizontal="left"/>
    </xf>
    <xf numFmtId="0" fontId="1" fillId="0" borderId="4" xfId="0" applyFont="1" applyBorder="1" applyAlignment="1">
      <alignment horizontal="left"/>
    </xf>
    <xf numFmtId="0" fontId="1" fillId="0" borderId="2" xfId="0" applyFont="1" applyBorder="1" applyAlignment="1">
      <alignment horizontal="left"/>
    </xf>
    <xf numFmtId="0" fontId="0" fillId="0" borderId="2" xfId="0" applyBorder="1" applyAlignment="1">
      <alignment horizontal="left"/>
    </xf>
    <xf numFmtId="0" fontId="8" fillId="0" borderId="0" xfId="0" applyFont="1" applyAlignment="1">
      <alignment horizontal="center" vertical="center"/>
    </xf>
    <xf numFmtId="0" fontId="9" fillId="0" borderId="0" xfId="0" applyFont="1" applyAlignment="1">
      <alignment horizontal="center" vertical="center"/>
    </xf>
    <xf numFmtId="165" fontId="3" fillId="0" borderId="0" xfId="0" applyNumberFormat="1" applyFont="1" applyAlignment="1">
      <alignment horizontal="center" vertical="center"/>
    </xf>
    <xf numFmtId="0" fontId="3" fillId="0" borderId="0" xfId="0" applyFont="1" applyAlignment="1">
      <alignment horizontal="center" vertical="center"/>
    </xf>
    <xf numFmtId="0" fontId="6" fillId="0" borderId="0" xfId="0" applyFont="1" applyAlignment="1">
      <alignment horizontal="center" vertical="center"/>
    </xf>
    <xf numFmtId="0" fontId="3" fillId="0" borderId="0" xfId="0" applyFont="1" applyAlignment="1">
      <alignment horizontal="center"/>
    </xf>
    <xf numFmtId="0" fontId="6" fillId="0" borderId="0" xfId="0" applyFont="1" applyAlignment="1">
      <alignment horizontal="center"/>
    </xf>
    <xf numFmtId="165" fontId="6" fillId="0" borderId="0" xfId="0" applyNumberFormat="1" applyFont="1" applyAlignment="1">
      <alignment horizontal="center"/>
    </xf>
    <xf numFmtId="165" fontId="6" fillId="0" borderId="0" xfId="0" applyNumberFormat="1" applyFont="1" applyAlignment="1">
      <alignment horizontal="center" vertical="center"/>
    </xf>
    <xf numFmtId="0" fontId="7" fillId="0" borderId="2" xfId="0" applyFont="1" applyBorder="1" applyAlignment="1">
      <alignment horizontal="center" wrapText="1"/>
    </xf>
    <xf numFmtId="0" fontId="4" fillId="0" borderId="2" xfId="0" applyFont="1" applyBorder="1" applyAlignment="1">
      <alignment horizontal="center" wrapText="1"/>
    </xf>
    <xf numFmtId="0" fontId="12" fillId="0" borderId="0" xfId="0" applyFont="1" applyAlignment="1">
      <alignment horizontal="right"/>
    </xf>
    <xf numFmtId="0" fontId="11" fillId="0" borderId="0" xfId="1" applyFill="1"/>
    <xf numFmtId="0" fontId="11" fillId="0" borderId="0" xfId="1" applyAlignment="1">
      <alignment horizontal="center"/>
    </xf>
    <xf numFmtId="0" fontId="13" fillId="0" borderId="0" xfId="0" applyFont="1" applyAlignment="1">
      <alignment horizontal="center"/>
    </xf>
    <xf numFmtId="0" fontId="14" fillId="0" borderId="0" xfId="0" applyFont="1" applyAlignment="1">
      <alignment horizontal="center"/>
    </xf>
    <xf numFmtId="0" fontId="0" fillId="9" borderId="10" xfId="0" applyFill="1" applyBorder="1"/>
    <xf numFmtId="0" fontId="0" fillId="9" borderId="11" xfId="0" applyFill="1" applyBorder="1"/>
    <xf numFmtId="15" fontId="0" fillId="9" borderId="9" xfId="0" applyNumberFormat="1" applyFill="1" applyBorder="1"/>
    <xf numFmtId="165" fontId="0" fillId="9" borderId="11" xfId="0" applyNumberFormat="1" applyFill="1" applyBorder="1"/>
    <xf numFmtId="165" fontId="0" fillId="9" borderId="10" xfId="0" applyNumberFormat="1" applyFill="1" applyBorder="1"/>
    <xf numFmtId="0" fontId="0" fillId="0" borderId="12" xfId="0" applyBorder="1" applyAlignment="1">
      <alignment horizontal="left"/>
    </xf>
    <xf numFmtId="0" fontId="11" fillId="0" borderId="0" xfId="1" applyFill="1"/>
    <xf numFmtId="0" fontId="16" fillId="0" borderId="12" xfId="0" applyFont="1" applyBorder="1" applyAlignment="1">
      <alignment horizontal="left"/>
    </xf>
    <xf numFmtId="0" fontId="10" fillId="0" borderId="2" xfId="0" applyFont="1" applyBorder="1" applyAlignment="1">
      <alignment horizontal="center"/>
    </xf>
    <xf numFmtId="0" fontId="1" fillId="0" borderId="2" xfId="0" applyFont="1" applyBorder="1"/>
    <xf numFmtId="0" fontId="2" fillId="0" borderId="2" xfId="0" applyFont="1" applyBorder="1" applyAlignment="1">
      <alignment horizontal="center"/>
    </xf>
    <xf numFmtId="0" fontId="1" fillId="0" borderId="2" xfId="0" applyFont="1" applyBorder="1" applyAlignment="1">
      <alignment horizontal="center"/>
    </xf>
  </cellXfs>
  <cellStyles count="2">
    <cellStyle name="Hyperlink" xfId="1" builtinId="8"/>
    <cellStyle name="Normal" xfId="0" builtinId="0"/>
  </cellStyles>
  <dxfs count="25">
    <dxf>
      <font>
        <color rgb="FF006100"/>
      </font>
      <fill>
        <patternFill>
          <bgColor rgb="FFC6EF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numFmt numFmtId="165" formatCode="&quot;₦&quot;#,##0.00"/>
    </dxf>
    <dxf>
      <numFmt numFmtId="165" formatCode="&quot;₦&quot;#,##0.00"/>
    </dxf>
    <dxf>
      <numFmt numFmtId="165" formatCode="&quot;₦&quot;#,##0.00"/>
    </dxf>
    <dxf>
      <font>
        <b val="0"/>
        <i val="0"/>
        <strike val="0"/>
        <condense val="0"/>
        <extend val="0"/>
        <outline val="0"/>
        <shadow val="0"/>
        <u val="none"/>
        <vertAlign val="baseline"/>
        <sz val="11"/>
        <color theme="1"/>
        <name val="Calibri"/>
        <family val="2"/>
        <scheme val="minor"/>
      </font>
      <border diagonalUp="0" diagonalDown="0" outline="0">
        <left style="thin">
          <color theme="4" tint="0.39997558519241921"/>
        </left>
        <right/>
        <top style="thin">
          <color theme="4" tint="0.39997558519241921"/>
        </top>
        <bottom style="thin">
          <color theme="4" tint="0.39997558519241921"/>
        </bottom>
      </border>
    </dxf>
    <dxf>
      <fill>
        <patternFill patternType="solid">
          <fgColor indexed="64"/>
          <bgColor rgb="FF7030A0"/>
        </patternFill>
      </fill>
    </dxf>
    <dxf>
      <protection locked="0" hidden="0"/>
    </dxf>
    <dxf>
      <protection locked="0" hidden="0"/>
    </dxf>
    <dxf>
      <numFmt numFmtId="165" formatCode="&quot;₦&quot;#,##0.00"/>
      <protection locked="0" hidden="0"/>
    </dxf>
    <dxf>
      <protection locked="0" hidden="0"/>
    </dxf>
    <dxf>
      <protection locked="0" hidden="0"/>
    </dxf>
    <dxf>
      <numFmt numFmtId="164" formatCode="[$]d\ mmm\ yyyy;@" x16r2:formatCode16="[$-en-NG,1]d\ mmm\ yyyy;@"/>
      <protection locked="0" hidden="0"/>
    </dxf>
    <dxf>
      <font>
        <b/>
        <i val="0"/>
        <strike val="0"/>
        <condense val="0"/>
        <extend val="0"/>
        <outline val="0"/>
        <shadow val="0"/>
        <u val="none"/>
        <vertAlign val="baseline"/>
        <sz val="12"/>
        <color theme="1"/>
        <name val="Calibri"/>
        <family val="2"/>
        <scheme val="minor"/>
      </font>
      <fill>
        <patternFill patternType="solid">
          <fgColor indexed="64"/>
          <bgColor theme="6" tint="-0.249977111117893"/>
        </patternFill>
      </fill>
      <alignment horizontal="center" vertical="bottom" textRotation="0" wrapText="0" indent="0" justifyLastLine="0" shrinkToFit="0" readingOrder="0"/>
    </dxf>
    <dxf>
      <numFmt numFmtId="165" formatCode="&quot;₦&quot;#,##0.00"/>
      <protection locked="0" hidden="0"/>
    </dxf>
    <dxf>
      <protection locked="0" hidden="0"/>
    </dxf>
    <dxf>
      <protection locked="0" hidden="0"/>
    </dxf>
    <dxf>
      <numFmt numFmtId="164" formatCode="[$]d\ mmm\ yyyy;@" x16r2:formatCode16="[$-en-NG,1]d\ mmm\ yyyy;@"/>
      <protection locked="0" hidden="0"/>
    </dxf>
    <dxf>
      <font>
        <b/>
        <i val="0"/>
        <strike val="0"/>
        <condense val="0"/>
        <extend val="0"/>
        <outline val="0"/>
        <shadow val="0"/>
        <u val="none"/>
        <vertAlign val="baseline"/>
        <sz val="12"/>
        <color theme="1"/>
        <name val="Calibri"/>
        <family val="2"/>
        <scheme val="minor"/>
      </font>
      <fill>
        <patternFill patternType="solid">
          <fgColor indexed="64"/>
          <bgColor theme="9"/>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[Personal Finance Tracker (Template).xlsm]Pivot Table!PivotTable5</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aseline="0">
                <a:solidFill>
                  <a:schemeClr val="tx1"/>
                </a:solidFill>
              </a:rPr>
              <a:t>Expenses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accent4"/>
            </a:solidFill>
            <a:ln>
              <a:noFill/>
            </a:ln>
            <a:effectLst/>
          </c:spPr>
          <c:invertIfNegative val="0"/>
          <c:cat>
            <c:strRef>
              <c:f>'Pivot Table'!$A$2:$A$3</c:f>
              <c:strCache>
                <c:ptCount val="1"/>
                <c:pt idx="0">
                  <c:v>(blank)</c:v>
                </c:pt>
              </c:strCache>
            </c:strRef>
          </c:cat>
          <c:val>
            <c:numRef>
              <c:f>'Pivot Table'!$B$2:$B$3</c:f>
              <c:numCache>
                <c:formatCode>"₦"#,##0.00</c:formatCode>
                <c:ptCount val="1"/>
              </c:numCache>
            </c:numRef>
          </c:val>
          <c:extLst>
            <c:ext xmlns:c16="http://schemas.microsoft.com/office/drawing/2014/chart" uri="{C3380CC4-5D6E-409C-BE32-E72D297353CC}">
              <c16:uniqueId val="{00000000-2FEB-47BD-B7EC-432531F1F98C}"/>
            </c:ext>
          </c:extLst>
        </c:ser>
        <c:dLbls>
          <c:showLegendKey val="0"/>
          <c:showVal val="0"/>
          <c:showCatName val="0"/>
          <c:showSerName val="0"/>
          <c:showPercent val="0"/>
          <c:showBubbleSize val="0"/>
        </c:dLbls>
        <c:gapWidth val="219"/>
        <c:overlap val="-27"/>
        <c:axId val="998182288"/>
        <c:axId val="998193328"/>
      </c:barChart>
      <c:catAx>
        <c:axId val="99818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8193328"/>
        <c:crosses val="autoZero"/>
        <c:auto val="1"/>
        <c:lblAlgn val="ctr"/>
        <c:lblOffset val="100"/>
        <c:noMultiLvlLbl val="0"/>
      </c:catAx>
      <c:valAx>
        <c:axId val="998193328"/>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8182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[Personal Finance Tracker (Template).xlsm]Pivot Table!PivotTable6</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aseline="0">
                <a:solidFill>
                  <a:schemeClr val="tx1"/>
                </a:solidFill>
              </a:rPr>
              <a:t>Monthly Spending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40391513560805"/>
          <c:y val="0.25865522018081066"/>
          <c:w val="0.79818307086614171"/>
          <c:h val="0.53774387576552929"/>
        </c:manualLayout>
      </c:layout>
      <c:lineChart>
        <c:grouping val="standard"/>
        <c:varyColors val="0"/>
        <c:ser>
          <c:idx val="0"/>
          <c:order val="0"/>
          <c:tx>
            <c:strRef>
              <c:f>'Pivot Table'!$H$1</c:f>
              <c:strCache>
                <c:ptCount val="1"/>
                <c:pt idx="0">
                  <c:v>Total</c:v>
                </c:pt>
              </c:strCache>
            </c:strRef>
          </c:tx>
          <c:spPr>
            <a:ln w="28575" cap="rnd">
              <a:solidFill>
                <a:schemeClr val="accent1"/>
              </a:solidFill>
              <a:round/>
            </a:ln>
            <a:effectLst/>
          </c:spPr>
          <c:marker>
            <c:symbol val="none"/>
          </c:marker>
          <c:cat>
            <c:strRef>
              <c:f>'Pivot Table'!$G$2:$G$3</c:f>
              <c:strCache>
                <c:ptCount val="1"/>
                <c:pt idx="0">
                  <c:v>January</c:v>
                </c:pt>
              </c:strCache>
            </c:strRef>
          </c:cat>
          <c:val>
            <c:numRef>
              <c:f>'Pivot Table'!$H$2:$H$3</c:f>
              <c:numCache>
                <c:formatCode>"₦"#,##0.00</c:formatCode>
                <c:ptCount val="1"/>
              </c:numCache>
            </c:numRef>
          </c:val>
          <c:smooth val="0"/>
          <c:extLst>
            <c:ext xmlns:c16="http://schemas.microsoft.com/office/drawing/2014/chart" uri="{C3380CC4-5D6E-409C-BE32-E72D297353CC}">
              <c16:uniqueId val="{00000000-561A-4B2C-9ABC-3CDD32A7C960}"/>
            </c:ext>
          </c:extLst>
        </c:ser>
        <c:dLbls>
          <c:showLegendKey val="0"/>
          <c:showVal val="0"/>
          <c:showCatName val="0"/>
          <c:showSerName val="0"/>
          <c:showPercent val="0"/>
          <c:showBubbleSize val="0"/>
        </c:dLbls>
        <c:smooth val="0"/>
        <c:axId val="998198608"/>
        <c:axId val="998173648"/>
      </c:lineChart>
      <c:catAx>
        <c:axId val="99819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8173648"/>
        <c:crosses val="autoZero"/>
        <c:auto val="1"/>
        <c:lblAlgn val="ctr"/>
        <c:lblOffset val="100"/>
        <c:noMultiLvlLbl val="0"/>
      </c:catAx>
      <c:valAx>
        <c:axId val="998173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8198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396240</xdr:colOff>
      <xdr:row>8</xdr:row>
      <xdr:rowOff>83820</xdr:rowOff>
    </xdr:from>
    <xdr:to>
      <xdr:col>5</xdr:col>
      <xdr:colOff>160020</xdr:colOff>
      <xdr:row>23</xdr:row>
      <xdr:rowOff>83820</xdr:rowOff>
    </xdr:to>
    <xdr:graphicFrame macro="">
      <xdr:nvGraphicFramePr>
        <xdr:cNvPr id="6" name="Chart 5">
          <a:extLst>
            <a:ext uri="{FF2B5EF4-FFF2-40B4-BE49-F238E27FC236}">
              <a16:creationId xmlns:a16="http://schemas.microsoft.com/office/drawing/2014/main" id="{AD956C43-62A0-4064-9A97-C8F982A31A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548640</xdr:colOff>
      <xdr:row>7</xdr:row>
      <xdr:rowOff>129540</xdr:rowOff>
    </xdr:from>
    <xdr:to>
      <xdr:col>12</xdr:col>
      <xdr:colOff>464820</xdr:colOff>
      <xdr:row>22</xdr:row>
      <xdr:rowOff>129540</xdr:rowOff>
    </xdr:to>
    <xdr:graphicFrame macro="">
      <xdr:nvGraphicFramePr>
        <xdr:cNvPr id="7" name="Chart 6">
          <a:extLst>
            <a:ext uri="{FF2B5EF4-FFF2-40B4-BE49-F238E27FC236}">
              <a16:creationId xmlns:a16="http://schemas.microsoft.com/office/drawing/2014/main" id="{11B0B9FB-3A62-4001-9962-F661D70E22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381000</xdr:colOff>
      <xdr:row>0</xdr:row>
      <xdr:rowOff>76200</xdr:rowOff>
    </xdr:from>
    <xdr:to>
      <xdr:col>14</xdr:col>
      <xdr:colOff>381000</xdr:colOff>
      <xdr:row>6</xdr:row>
      <xdr:rowOff>129540</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BE9DB0CA-7DDE-485B-9F3E-91D45AB8E89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601200" y="76200"/>
              <a:ext cx="1828800" cy="1348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541020</xdr:colOff>
      <xdr:row>0</xdr:row>
      <xdr:rowOff>68581</xdr:rowOff>
    </xdr:from>
    <xdr:to>
      <xdr:col>17</xdr:col>
      <xdr:colOff>541020</xdr:colOff>
      <xdr:row>6</xdr:row>
      <xdr:rowOff>137161</xdr:rowOff>
    </xdr:to>
    <mc:AlternateContent xmlns:mc="http://schemas.openxmlformats.org/markup-compatibility/2006" xmlns:a14="http://schemas.microsoft.com/office/drawing/2010/main">
      <mc:Choice Requires="a14">
        <xdr:graphicFrame macro="">
          <xdr:nvGraphicFramePr>
            <xdr:cNvPr id="9" name="Expense Category">
              <a:extLst>
                <a:ext uri="{FF2B5EF4-FFF2-40B4-BE49-F238E27FC236}">
                  <a16:creationId xmlns:a16="http://schemas.microsoft.com/office/drawing/2014/main" id="{934A9520-AC4B-4208-85AD-250640C961BC}"/>
                </a:ext>
              </a:extLst>
            </xdr:cNvPr>
            <xdr:cNvGraphicFramePr/>
          </xdr:nvGraphicFramePr>
          <xdr:xfrm>
            <a:off x="0" y="0"/>
            <a:ext cx="0" cy="0"/>
          </xdr:xfrm>
          <a:graphic>
            <a:graphicData uri="http://schemas.microsoft.com/office/drawing/2010/slicer">
              <sle:slicer xmlns:sle="http://schemas.microsoft.com/office/drawing/2010/slicer" name="Expense Category"/>
            </a:graphicData>
          </a:graphic>
        </xdr:graphicFrame>
      </mc:Choice>
      <mc:Fallback xmlns="">
        <xdr:sp macro="" textlink="">
          <xdr:nvSpPr>
            <xdr:cNvPr id="0" name=""/>
            <xdr:cNvSpPr>
              <a:spLocks noTextEdit="1"/>
            </xdr:cNvSpPr>
          </xdr:nvSpPr>
          <xdr:spPr>
            <a:xfrm>
              <a:off x="11590020" y="68581"/>
              <a:ext cx="1828800" cy="13639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10</xdr:row>
          <xdr:rowOff>152400</xdr:rowOff>
        </xdr:from>
        <xdr:to>
          <xdr:col>0</xdr:col>
          <xdr:colOff>922020</xdr:colOff>
          <xdr:row>12</xdr:row>
          <xdr:rowOff>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xdr:row>
          <xdr:rowOff>175260</xdr:rowOff>
        </xdr:from>
        <xdr:to>
          <xdr:col>5</xdr:col>
          <xdr:colOff>0</xdr:colOff>
          <xdr:row>13</xdr:row>
          <xdr:rowOff>15240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Expenses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06.082362962959" createdVersion="8" refreshedVersion="8" minRefreshableVersion="3" recordCount="1" xr:uid="{9752769B-E84A-4AAE-841B-FD7FD1BBECCC}">
  <cacheSource type="worksheet">
    <worksheetSource name="TblExpenses"/>
  </cacheSource>
  <cacheFields count="8">
    <cacheField name="Date" numFmtId="164">
      <sharedItems containsNonDate="0" containsString="0" containsBlank="1"/>
    </cacheField>
    <cacheField name="Expense Category" numFmtId="0">
      <sharedItems containsNonDate="0" containsBlank="1" count="13">
        <m/>
        <s v="Transport" u="1"/>
        <s v="Food" u="1"/>
        <s v="Rent" u="1"/>
        <s v="Entertainment" u="1"/>
        <s v="Internet" u="1"/>
        <s v="Health" u="1"/>
        <s v="Shopping" u="1"/>
        <s v="Family" u="1"/>
        <s v="Miscellaneous" u="1"/>
        <s v="Education" u="1"/>
        <s v="Utilities" u="1"/>
        <s v="Debt Repayment" u="1"/>
      </sharedItems>
    </cacheField>
    <cacheField name="Expense Description" numFmtId="0">
      <sharedItems containsNonDate="0" containsString="0" containsBlank="1"/>
    </cacheField>
    <cacheField name="Amount" numFmtId="165">
      <sharedItems containsNonDate="0" containsString="0" containsBlank="1"/>
    </cacheField>
    <cacheField name="Need/Want" numFmtId="0">
      <sharedItems containsNonDate="0" containsString="0" containsBlank="1"/>
    </cacheField>
    <cacheField name="Payment Method" numFmtId="0">
      <sharedItems containsNonDate="0" containsString="0" containsBlank="1"/>
    </cacheField>
    <cacheField name="Month" numFmtId="0">
      <sharedItems containsBlank="1" count="8">
        <s v="January"/>
        <s v="July" u="1"/>
        <m u="1"/>
        <s v="August" u="1"/>
        <s v="June" u="1"/>
        <s v="April" u="1"/>
        <s v="October" u="1"/>
        <s v="November" u="1"/>
      </sharedItems>
    </cacheField>
    <cacheField name="Year" numFmtId="0">
      <sharedItems containsSemiMixedTypes="0" containsString="0" containsNumber="1" containsInteger="1" minValue="1900" maxValue="1900"/>
    </cacheField>
  </cacheFields>
  <extLst>
    <ext xmlns:x14="http://schemas.microsoft.com/office/spreadsheetml/2009/9/main" uri="{725AE2AE-9491-48be-B2B4-4EB974FC3084}">
      <x14:pivotCacheDefinition pivotCacheId="11522446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m/>
    <m/>
    <m/>
    <m/>
    <x v="0"/>
    <n v="19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7E2DCB-F57F-4B9A-9403-D2CA7C6B46AA}" name="PivotTable6"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Months">
  <location ref="G1:H3" firstHeaderRow="1" firstDataRow="1" firstDataCol="1"/>
  <pivotFields count="8">
    <pivotField numFmtId="164" showAll="0"/>
    <pivotField showAll="0">
      <items count="14">
        <item m="1" x="12"/>
        <item m="1" x="10"/>
        <item m="1" x="4"/>
        <item m="1" x="8"/>
        <item m="1" x="2"/>
        <item m="1" x="6"/>
        <item m="1" x="5"/>
        <item m="1" x="9"/>
        <item m="1" x="3"/>
        <item m="1" x="7"/>
        <item m="1" x="1"/>
        <item m="1" x="11"/>
        <item x="0"/>
        <item t="default"/>
      </items>
    </pivotField>
    <pivotField showAll="0"/>
    <pivotField dataField="1" numFmtId="165" showAll="0"/>
    <pivotField showAll="0"/>
    <pivotField showAll="0"/>
    <pivotField axis="axisRow" showAll="0">
      <items count="9">
        <item x="0"/>
        <item m="1" x="5"/>
        <item m="1" x="4"/>
        <item m="1" x="1"/>
        <item m="1" x="3"/>
        <item m="1" x="6"/>
        <item m="1" x="7"/>
        <item m="1" x="2"/>
        <item t="default"/>
      </items>
    </pivotField>
    <pivotField showAll="0"/>
  </pivotFields>
  <rowFields count="1">
    <field x="6"/>
  </rowFields>
  <rowItems count="2">
    <i>
      <x/>
    </i>
    <i t="grand">
      <x/>
    </i>
  </rowItems>
  <colItems count="1">
    <i/>
  </colItems>
  <dataFields count="1">
    <dataField name="Monthly Expenses" fld="3" baseField="6" baseItem="0" numFmtId="165"/>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734CDF-3AA6-45DD-9319-E857AA204180}" name="PivotTable5"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Expense Category">
  <location ref="A1:B3" firstHeaderRow="1" firstDataRow="1" firstDataCol="1"/>
  <pivotFields count="8">
    <pivotField numFmtId="164" showAll="0"/>
    <pivotField axis="axisRow" showAll="0">
      <items count="14">
        <item m="1" x="4"/>
        <item m="1" x="8"/>
        <item m="1" x="2"/>
        <item m="1" x="6"/>
        <item m="1" x="5"/>
        <item m="1" x="9"/>
        <item m="1" x="3"/>
        <item m="1" x="7"/>
        <item m="1" x="1"/>
        <item m="1" x="10"/>
        <item m="1" x="11"/>
        <item m="1" x="12"/>
        <item x="0"/>
        <item t="default"/>
      </items>
    </pivotField>
    <pivotField showAll="0"/>
    <pivotField dataField="1" numFmtId="165" showAll="0"/>
    <pivotField showAll="0"/>
    <pivotField showAll="0"/>
    <pivotField showAll="0">
      <items count="9">
        <item x="0"/>
        <item m="1" x="5"/>
        <item m="1" x="4"/>
        <item m="1" x="1"/>
        <item m="1" x="3"/>
        <item m="1" x="6"/>
        <item m="1" x="7"/>
        <item m="1" x="2"/>
        <item t="default"/>
      </items>
    </pivotField>
    <pivotField showAll="0"/>
  </pivotFields>
  <rowFields count="1">
    <field x="1"/>
  </rowFields>
  <rowItems count="2">
    <i>
      <x v="12"/>
    </i>
    <i t="grand">
      <x/>
    </i>
  </rowItems>
  <colItems count="1">
    <i/>
  </colItems>
  <dataFields count="1">
    <dataField name="Total Expenses" fld="3" baseField="1" baseItem="0" numFmtId="165"/>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42FFAE0-7D94-46E5-ADAB-E7C3FF0BF480}" sourceName="Month">
  <pivotTables>
    <pivotTable tabId="6" name="PivotTable5"/>
    <pivotTable tabId="6" name="PivotTable6"/>
  </pivotTables>
  <data>
    <tabular pivotCacheId="1152244658">
      <items count="8">
        <i x="0" s="1" nd="1"/>
        <i x="5" s="1" nd="1"/>
        <i x="4" s="1" nd="1"/>
        <i x="1" s="1" nd="1"/>
        <i x="3" s="1" nd="1"/>
        <i x="6" s="1" nd="1"/>
        <i x="7"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_Category" xr10:uid="{E8677CDD-04CA-428B-8AE0-D66BF117E4BB}" sourceName="Expense Category">
  <pivotTables>
    <pivotTable tabId="6" name="PivotTable5"/>
    <pivotTable tabId="6" name="PivotTable6"/>
  </pivotTables>
  <data>
    <tabular pivotCacheId="1152244658">
      <items count="13">
        <i x="12" s="1" nd="1"/>
        <i x="10" s="1" nd="1"/>
        <i x="4" s="1" nd="1"/>
        <i x="8" s="1" nd="1"/>
        <i x="2" s="1" nd="1"/>
        <i x="6" s="1" nd="1"/>
        <i x="5" s="1" nd="1"/>
        <i x="9" s="1" nd="1"/>
        <i x="3" s="1" nd="1"/>
        <i x="7" s="1" nd="1"/>
        <i x="1" s="1" nd="1"/>
        <i x="11"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C12121E6-20D0-4F45-B395-5BCC66B1C0AD}" cache="Slicer_Month" caption="Month" rowHeight="234950"/>
  <slicer name="Expense Category" xr10:uid="{E9824B55-7630-4860-BB9D-011E0DAE855F}" cache="Slicer_Expense_Category" caption="Expense Catego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21A444-C3E6-42F7-9793-C12CA022B3A1}" name="TblIncome" displayName="TblIncome" ref="A1:F2" totalsRowShown="0" headerRowDxfId="24">
  <autoFilter ref="A1:F2" xr:uid="{1A21A444-C3E6-42F7-9793-C12CA022B3A1}"/>
  <tableColumns count="6">
    <tableColumn id="1" xr3:uid="{02C806EC-6BD4-4033-8F8D-DD8A8E5B1281}" name="Date" dataDxfId="23"/>
    <tableColumn id="2" xr3:uid="{AACBC682-8B97-498D-B96D-6ED6AE804828}" name="Income Source" dataDxfId="22"/>
    <tableColumn id="3" xr3:uid="{836D96EF-1DA0-4225-8F41-21084C90F4D6}" name="Description" dataDxfId="21"/>
    <tableColumn id="4" xr3:uid="{AFD103DF-EB13-4F52-B91D-652E1266662D}" name="Amount" dataDxfId="20"/>
    <tableColumn id="5" xr3:uid="{4CBD2FEA-F795-462A-9D38-BF332FE8E116}" name="Month" dataDxfId="5">
      <calculatedColumnFormula>TEXT(TblIncome[[#This Row],[Date]],"mmmm")</calculatedColumnFormula>
    </tableColumn>
    <tableColumn id="6" xr3:uid="{9E3F4BCF-34E9-4EB8-ABCC-EF95AE50A787}" name="Year" dataDxfId="4">
      <calculatedColumnFormula>YEAR(TblIncome[[#This Row],[Date]])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C4C8FDE-B77C-4E9A-9AC8-77DF8165DE42}" name="TblExpenses" displayName="TblExpenses" ref="A1:H2" totalsRowShown="0" headerRowDxfId="19">
  <autoFilter ref="A1:H2" xr:uid="{DC4C8FDE-B77C-4E9A-9AC8-77DF8165DE42}"/>
  <tableColumns count="8">
    <tableColumn id="1" xr3:uid="{57F42505-BE9E-485C-A415-84551D603D79}" name="Date" dataDxfId="18"/>
    <tableColumn id="2" xr3:uid="{39FADE21-DCDC-40A4-8983-8B96CE4EDA1F}" name="Expense Category" dataDxfId="17"/>
    <tableColumn id="3" xr3:uid="{C0A969EF-000B-4094-A9D4-5B5C9F82687D}" name="Expense Description" dataDxfId="16"/>
    <tableColumn id="4" xr3:uid="{6CB24DF8-EA6F-4D48-84A7-1AA619FD04DB}" name="Amount" dataDxfId="15"/>
    <tableColumn id="5" xr3:uid="{2991B69A-DE6A-4E40-B21B-D31881C3F17A}" name="Need/Want" dataDxfId="14"/>
    <tableColumn id="6" xr3:uid="{4AB24588-F0CC-468D-ADC1-CE933FCB22A9}" name="Payment Method" dataDxfId="13"/>
    <tableColumn id="7" xr3:uid="{E0E9260F-889F-475B-97DD-BE99880D3DF0}" name="Month" dataDxfId="3">
      <calculatedColumnFormula>TEXT(TblExpenses[[#This Row],[Date]],"mmmm")</calculatedColumnFormula>
    </tableColumn>
    <tableColumn id="8" xr3:uid="{095FDCE3-79CE-4D97-AE99-7AC69C003ECD}" name="Year" dataDxfId="2">
      <calculatedColumnFormula>YEAR(TblExpenses[[#This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72B12E-9477-4226-B24F-BACA44237C46}" name="TblBudget" displayName="TblBudget" ref="A1:E15" totalsRowShown="0" headerRowDxfId="12">
  <autoFilter ref="A1:E15" xr:uid="{2F72B12E-9477-4226-B24F-BACA44237C46}"/>
  <tableColumns count="5">
    <tableColumn id="1" xr3:uid="{3F9843FB-A19E-40EB-AFD2-1417F6691AA4}" name="Expense Category" dataDxfId="11"/>
    <tableColumn id="2" xr3:uid="{4D26EF88-AA33-499E-9C0D-605C9A01A9FC}" name="Budget" dataDxfId="10"/>
    <tableColumn id="3" xr3:uid="{4D52A512-8C25-4220-9D87-910C05139A79}" name="Actual" dataDxfId="9">
      <calculatedColumnFormula>SUMIFS(TblExpenses[Amount],TblExpenses[Expense Category],TblBudget[[#This Row],[Expense Category]])</calculatedColumnFormula>
    </tableColumn>
    <tableColumn id="4" xr3:uid="{ED563117-CB81-4065-8093-2E21F9568FE9}" name="Variance" dataDxfId="8">
      <calculatedColumnFormula>TblBudget[[#This Row],[Budget]]-TblBudget[[#This Row],[Actual]]</calculatedColumnFormula>
    </tableColumn>
    <tableColumn id="5" xr3:uid="{ECD547DD-4523-4336-8556-5672C21FD553}" name="Status" dataDxfId="7">
      <calculatedColumnFormula>IF(TblBudget[[#This Row],[Variance]]&lt;0,"Over Budget", "Within Budget")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F67E99-70D4-4FEA-91EA-73DF72821D6D}" name="Table1" displayName="Table1" ref="A1:D16" totalsRowShown="0" headerRowDxfId="6">
  <autoFilter ref="A1:D16" xr:uid="{AFF67E99-70D4-4FEA-91EA-73DF72821D6D}"/>
  <tableColumns count="4">
    <tableColumn id="1" xr3:uid="{7969862C-C6BE-4FC9-B57C-CBD0A3B6D593}" name="Expenses Categories"/>
    <tableColumn id="3" xr3:uid="{F721C1F4-3D1B-45B1-B7D9-4A17FE2D0D4F}" name="Income Sources"/>
    <tableColumn id="5" xr3:uid="{13D3EA36-04C1-4006-9A91-E6DFBDB79845}" name="Payment Method"/>
    <tableColumn id="7" xr3:uid="{7C5B272F-1D5A-4E67-BED6-A87CFDAF385D}" name="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D4151-5EDF-4570-A95F-62AB2FC1DDCB}">
  <sheetPr codeName="Sheet1">
    <tabColor rgb="FF00B0F0"/>
  </sheetPr>
  <dimension ref="B1:P38"/>
  <sheetViews>
    <sheetView showGridLines="0" workbookViewId="0">
      <selection activeCell="O2" sqref="O2:P2"/>
    </sheetView>
  </sheetViews>
  <sheetFormatPr defaultRowHeight="14.4" x14ac:dyDescent="0.3"/>
  <cols>
    <col min="11" max="11" width="13.5546875" customWidth="1"/>
    <col min="12" max="13" width="8.88671875" customWidth="1"/>
    <col min="14" max="14" width="13.5546875" customWidth="1"/>
  </cols>
  <sheetData>
    <row r="1" spans="2:16" ht="25.8" x14ac:dyDescent="0.3">
      <c r="E1" s="39" t="s">
        <v>54</v>
      </c>
      <c r="F1" s="40"/>
      <c r="G1" s="40"/>
      <c r="H1" s="40"/>
      <c r="I1" s="40"/>
      <c r="J1" s="40"/>
      <c r="K1" s="40"/>
      <c r="L1" s="40"/>
    </row>
    <row r="2" spans="2:16" ht="18.600000000000001" x14ac:dyDescent="0.4">
      <c r="C2" s="62" t="s">
        <v>88</v>
      </c>
      <c r="D2" s="62"/>
      <c r="E2" s="62"/>
      <c r="F2" s="62"/>
      <c r="N2" s="50"/>
      <c r="O2" s="51" t="s">
        <v>80</v>
      </c>
      <c r="P2" s="51"/>
    </row>
    <row r="3" spans="2:16" ht="16.8" x14ac:dyDescent="0.4">
      <c r="C3" s="60"/>
      <c r="D3" s="60"/>
      <c r="E3" s="60"/>
      <c r="F3" s="60"/>
      <c r="N3" s="50"/>
      <c r="O3" s="61"/>
      <c r="P3" s="61"/>
    </row>
    <row r="4" spans="2:16" x14ac:dyDescent="0.3">
      <c r="B4" s="31">
        <v>1</v>
      </c>
      <c r="C4" s="34" t="s">
        <v>55</v>
      </c>
      <c r="D4" s="35"/>
      <c r="E4" s="35"/>
      <c r="F4" s="35"/>
      <c r="G4" s="35"/>
      <c r="H4" s="35"/>
      <c r="I4" s="35"/>
      <c r="J4" s="35"/>
      <c r="K4" s="35"/>
      <c r="L4" s="35"/>
      <c r="M4" s="36"/>
    </row>
    <row r="5" spans="2:16" x14ac:dyDescent="0.3">
      <c r="B5" s="32"/>
      <c r="C5" s="27" t="s">
        <v>56</v>
      </c>
      <c r="D5" s="27"/>
      <c r="E5" s="27"/>
      <c r="F5" s="27"/>
      <c r="G5" s="27"/>
      <c r="H5" s="27"/>
      <c r="I5" s="27"/>
      <c r="J5" s="27"/>
      <c r="K5" s="27"/>
      <c r="L5" s="27"/>
      <c r="M5" s="27"/>
    </row>
    <row r="6" spans="2:16" x14ac:dyDescent="0.3">
      <c r="B6" s="33"/>
      <c r="C6" s="28" t="s">
        <v>57</v>
      </c>
      <c r="D6" s="29"/>
      <c r="E6" s="29"/>
      <c r="F6" s="29"/>
      <c r="G6" s="29"/>
      <c r="H6" s="29"/>
      <c r="I6" s="29"/>
      <c r="J6" s="29"/>
      <c r="K6" s="29"/>
      <c r="L6" s="29"/>
      <c r="M6" s="30"/>
    </row>
    <row r="8" spans="2:16" x14ac:dyDescent="0.3">
      <c r="B8" s="31">
        <v>2</v>
      </c>
      <c r="C8" s="34" t="s">
        <v>58</v>
      </c>
      <c r="D8" s="35"/>
      <c r="E8" s="35"/>
      <c r="F8" s="35"/>
      <c r="G8" s="36"/>
      <c r="J8" s="31">
        <v>6</v>
      </c>
      <c r="K8" s="37" t="s">
        <v>89</v>
      </c>
      <c r="L8" s="37"/>
      <c r="M8" s="37"/>
      <c r="N8" s="37"/>
    </row>
    <row r="9" spans="2:16" x14ac:dyDescent="0.3">
      <c r="B9" s="32"/>
      <c r="C9" s="28" t="s">
        <v>60</v>
      </c>
      <c r="D9" s="29"/>
      <c r="E9" s="29"/>
      <c r="F9" s="29"/>
      <c r="G9" s="30"/>
      <c r="J9" s="32"/>
      <c r="K9" s="38" t="s">
        <v>77</v>
      </c>
      <c r="L9" s="38"/>
      <c r="M9" s="38"/>
      <c r="N9" s="38"/>
    </row>
    <row r="10" spans="2:16" x14ac:dyDescent="0.3">
      <c r="B10" s="32"/>
      <c r="C10" s="28" t="s">
        <v>61</v>
      </c>
      <c r="D10" s="29"/>
      <c r="E10" s="29"/>
      <c r="F10" s="29"/>
      <c r="G10" s="30"/>
      <c r="J10" s="32"/>
      <c r="K10" s="38" t="s">
        <v>78</v>
      </c>
      <c r="L10" s="38"/>
      <c r="M10" s="38"/>
      <c r="N10" s="38"/>
    </row>
    <row r="11" spans="2:16" x14ac:dyDescent="0.3">
      <c r="B11" s="32"/>
      <c r="C11" s="28" t="s">
        <v>62</v>
      </c>
      <c r="D11" s="29"/>
      <c r="E11" s="29"/>
      <c r="F11" s="29"/>
      <c r="G11" s="30"/>
      <c r="J11" s="32"/>
      <c r="K11" s="38" t="s">
        <v>79</v>
      </c>
      <c r="L11" s="38"/>
      <c r="M11" s="38"/>
      <c r="N11" s="38"/>
    </row>
    <row r="12" spans="2:16" x14ac:dyDescent="0.3">
      <c r="B12" s="32"/>
      <c r="C12" s="28" t="s">
        <v>63</v>
      </c>
      <c r="D12" s="29"/>
      <c r="E12" s="29"/>
      <c r="F12" s="29"/>
      <c r="G12" s="30"/>
      <c r="J12" s="33"/>
      <c r="K12" s="63" t="s">
        <v>90</v>
      </c>
      <c r="L12" s="63"/>
      <c r="M12" s="63"/>
      <c r="N12" s="63"/>
    </row>
    <row r="13" spans="2:16" x14ac:dyDescent="0.3">
      <c r="B13" s="32"/>
      <c r="C13" s="28" t="s">
        <v>64</v>
      </c>
      <c r="D13" s="29"/>
      <c r="E13" s="29"/>
      <c r="F13" s="29"/>
      <c r="G13" s="30"/>
    </row>
    <row r="14" spans="2:16" x14ac:dyDescent="0.3">
      <c r="B14" s="33"/>
      <c r="C14" s="28" t="s">
        <v>59</v>
      </c>
      <c r="D14" s="29"/>
      <c r="E14" s="29"/>
      <c r="F14" s="29"/>
      <c r="G14" s="30"/>
    </row>
    <row r="15" spans="2:16" ht="15.6" x14ac:dyDescent="0.3">
      <c r="K15" s="64" t="s">
        <v>91</v>
      </c>
      <c r="L15" s="65" t="s">
        <v>92</v>
      </c>
      <c r="M15" s="65"/>
      <c r="N15" s="65"/>
    </row>
    <row r="16" spans="2:16" x14ac:dyDescent="0.3">
      <c r="B16" s="31">
        <v>3</v>
      </c>
      <c r="C16" s="34" t="s">
        <v>65</v>
      </c>
      <c r="D16" s="35"/>
      <c r="E16" s="35"/>
      <c r="F16" s="35"/>
      <c r="G16" s="35"/>
      <c r="H16" s="36"/>
      <c r="K16" s="66" t="s">
        <v>35</v>
      </c>
      <c r="L16" s="34">
        <v>2026</v>
      </c>
      <c r="M16" s="35"/>
      <c r="N16" s="36"/>
    </row>
    <row r="17" spans="2:8" x14ac:dyDescent="0.3">
      <c r="B17" s="32"/>
      <c r="C17" s="28" t="s">
        <v>66</v>
      </c>
      <c r="D17" s="29"/>
      <c r="E17" s="29"/>
      <c r="F17" s="29"/>
      <c r="G17" s="29"/>
      <c r="H17" s="30"/>
    </row>
    <row r="18" spans="2:8" x14ac:dyDescent="0.3">
      <c r="B18" s="32"/>
      <c r="C18" s="28" t="s">
        <v>61</v>
      </c>
      <c r="D18" s="29"/>
      <c r="E18" s="29"/>
      <c r="F18" s="29"/>
      <c r="G18" s="29"/>
      <c r="H18" s="30"/>
    </row>
    <row r="19" spans="2:8" x14ac:dyDescent="0.3">
      <c r="B19" s="32"/>
      <c r="C19" s="28" t="s">
        <v>67</v>
      </c>
      <c r="D19" s="29"/>
      <c r="E19" s="29"/>
      <c r="F19" s="29"/>
      <c r="G19" s="29"/>
      <c r="H19" s="30"/>
    </row>
    <row r="20" spans="2:8" x14ac:dyDescent="0.3">
      <c r="B20" s="32"/>
      <c r="C20" s="28" t="s">
        <v>63</v>
      </c>
      <c r="D20" s="29"/>
      <c r="E20" s="29"/>
      <c r="F20" s="29"/>
      <c r="G20" s="29"/>
      <c r="H20" s="30"/>
    </row>
    <row r="21" spans="2:8" x14ac:dyDescent="0.3">
      <c r="B21" s="32"/>
      <c r="C21" s="28" t="s">
        <v>64</v>
      </c>
      <c r="D21" s="29"/>
      <c r="E21" s="29"/>
      <c r="F21" s="29"/>
      <c r="G21" s="29"/>
      <c r="H21" s="30"/>
    </row>
    <row r="22" spans="2:8" x14ac:dyDescent="0.3">
      <c r="B22" s="32"/>
      <c r="C22" s="28" t="s">
        <v>68</v>
      </c>
      <c r="D22" s="29"/>
      <c r="E22" s="29"/>
      <c r="F22" s="29"/>
      <c r="G22" s="29"/>
      <c r="H22" s="30"/>
    </row>
    <row r="23" spans="2:8" x14ac:dyDescent="0.3">
      <c r="B23" s="33"/>
      <c r="C23" s="28" t="s">
        <v>69</v>
      </c>
      <c r="D23" s="29"/>
      <c r="E23" s="29"/>
      <c r="F23" s="29"/>
      <c r="G23" s="29"/>
      <c r="H23" s="30"/>
    </row>
    <row r="25" spans="2:8" x14ac:dyDescent="0.3">
      <c r="B25" s="31">
        <v>4</v>
      </c>
      <c r="C25" s="37" t="s">
        <v>70</v>
      </c>
      <c r="D25" s="37"/>
      <c r="E25" s="37"/>
      <c r="F25" s="37"/>
      <c r="G25" s="37"/>
      <c r="H25" s="37"/>
    </row>
    <row r="26" spans="2:8" x14ac:dyDescent="0.3">
      <c r="B26" s="32"/>
      <c r="C26" s="38" t="s">
        <v>71</v>
      </c>
      <c r="D26" s="38"/>
      <c r="E26" s="38"/>
      <c r="F26" s="38"/>
      <c r="G26" s="38"/>
      <c r="H26" s="38"/>
    </row>
    <row r="27" spans="2:8" x14ac:dyDescent="0.3">
      <c r="B27" s="33"/>
      <c r="C27" s="38" t="s">
        <v>72</v>
      </c>
      <c r="D27" s="38"/>
      <c r="E27" s="38"/>
      <c r="F27" s="38"/>
      <c r="G27" s="38"/>
      <c r="H27" s="38"/>
    </row>
    <row r="29" spans="2:8" x14ac:dyDescent="0.3">
      <c r="B29" s="31">
        <v>5</v>
      </c>
      <c r="C29" s="34" t="s">
        <v>73</v>
      </c>
      <c r="D29" s="35"/>
      <c r="E29" s="35"/>
      <c r="F29" s="36"/>
    </row>
    <row r="30" spans="2:8" x14ac:dyDescent="0.3">
      <c r="B30" s="32"/>
      <c r="C30" s="28" t="s">
        <v>74</v>
      </c>
      <c r="D30" s="29"/>
      <c r="E30" s="29"/>
      <c r="F30" s="30"/>
    </row>
    <row r="31" spans="2:8" x14ac:dyDescent="0.3">
      <c r="B31" s="32"/>
      <c r="C31" s="28" t="s">
        <v>40</v>
      </c>
      <c r="D31" s="29"/>
      <c r="E31" s="29"/>
      <c r="F31" s="30"/>
    </row>
    <row r="32" spans="2:8" x14ac:dyDescent="0.3">
      <c r="B32" s="32"/>
      <c r="C32" s="28" t="s">
        <v>41</v>
      </c>
      <c r="D32" s="29"/>
      <c r="E32" s="29"/>
      <c r="F32" s="30"/>
    </row>
    <row r="33" spans="2:6" x14ac:dyDescent="0.3">
      <c r="B33" s="32"/>
      <c r="C33" s="28" t="s">
        <v>11</v>
      </c>
      <c r="D33" s="29"/>
      <c r="E33" s="29"/>
      <c r="F33" s="30"/>
    </row>
    <row r="34" spans="2:6" x14ac:dyDescent="0.3">
      <c r="B34" s="32"/>
      <c r="C34" s="28" t="s">
        <v>43</v>
      </c>
      <c r="D34" s="29"/>
      <c r="E34" s="29"/>
      <c r="F34" s="30"/>
    </row>
    <row r="35" spans="2:6" x14ac:dyDescent="0.3">
      <c r="B35" s="32"/>
      <c r="C35" s="28" t="s">
        <v>42</v>
      </c>
      <c r="D35" s="29"/>
      <c r="E35" s="29"/>
      <c r="F35" s="30"/>
    </row>
    <row r="36" spans="2:6" x14ac:dyDescent="0.3">
      <c r="B36" s="32"/>
      <c r="C36" s="28" t="s">
        <v>52</v>
      </c>
      <c r="D36" s="29"/>
      <c r="E36" s="29"/>
      <c r="F36" s="30"/>
    </row>
    <row r="37" spans="2:6" x14ac:dyDescent="0.3">
      <c r="B37" s="32"/>
      <c r="C37" s="28" t="s">
        <v>75</v>
      </c>
      <c r="D37" s="29"/>
      <c r="E37" s="29"/>
      <c r="F37" s="30"/>
    </row>
    <row r="38" spans="2:6" x14ac:dyDescent="0.3">
      <c r="B38" s="33"/>
      <c r="C38" s="28" t="s">
        <v>76</v>
      </c>
      <c r="D38" s="29"/>
      <c r="E38" s="29"/>
      <c r="F38" s="30"/>
    </row>
  </sheetData>
  <mergeCells count="46">
    <mergeCell ref="L16:N16"/>
    <mergeCell ref="O2:P2"/>
    <mergeCell ref="C2:F2"/>
    <mergeCell ref="K12:N12"/>
    <mergeCell ref="J8:J12"/>
    <mergeCell ref="L15:N15"/>
    <mergeCell ref="K8:N8"/>
    <mergeCell ref="K9:N9"/>
    <mergeCell ref="K10:N10"/>
    <mergeCell ref="K11:N11"/>
    <mergeCell ref="C14:G14"/>
    <mergeCell ref="E1:L1"/>
    <mergeCell ref="C6:M6"/>
    <mergeCell ref="C4:M4"/>
    <mergeCell ref="B4:B6"/>
    <mergeCell ref="C8:G8"/>
    <mergeCell ref="B8:B14"/>
    <mergeCell ref="C9:G9"/>
    <mergeCell ref="C10:G10"/>
    <mergeCell ref="C11:G11"/>
    <mergeCell ref="C12:G12"/>
    <mergeCell ref="C13:G13"/>
    <mergeCell ref="C27:H27"/>
    <mergeCell ref="B25:B27"/>
    <mergeCell ref="C16:H16"/>
    <mergeCell ref="C17:H17"/>
    <mergeCell ref="C18:H18"/>
    <mergeCell ref="C19:H19"/>
    <mergeCell ref="C20:H20"/>
    <mergeCell ref="C21:H21"/>
    <mergeCell ref="C22:H22"/>
    <mergeCell ref="C23:H23"/>
    <mergeCell ref="B16:B23"/>
    <mergeCell ref="C25:H25"/>
    <mergeCell ref="C26:H26"/>
    <mergeCell ref="C35:F35"/>
    <mergeCell ref="C36:F36"/>
    <mergeCell ref="C37:F37"/>
    <mergeCell ref="C38:F38"/>
    <mergeCell ref="B29:B38"/>
    <mergeCell ref="C29:F29"/>
    <mergeCell ref="C30:F30"/>
    <mergeCell ref="C31:F31"/>
    <mergeCell ref="C32:F32"/>
    <mergeCell ref="C33:F33"/>
    <mergeCell ref="C34:F34"/>
  </mergeCells>
  <hyperlinks>
    <hyperlink ref="O2:P2" location="Dashboard!A1" display=" 🏠 Go to Dashboard" xr:uid="{9B87863F-FBBE-4B41-9B73-4E6D4B35C90D}"/>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BD5A4-DACB-485C-B19C-0485B1C4B66E}">
  <sheetPr codeName="Sheet2">
    <tabColor rgb="FF002060"/>
  </sheetPr>
  <dimension ref="A1:J9"/>
  <sheetViews>
    <sheetView showGridLines="0" tabSelected="1" workbookViewId="0">
      <selection activeCell="O18" sqref="O18"/>
    </sheetView>
  </sheetViews>
  <sheetFormatPr defaultRowHeight="14.4" x14ac:dyDescent="0.3"/>
  <cols>
    <col min="1" max="1" width="13.21875" bestFit="1" customWidth="1"/>
    <col min="2" max="2" width="14.33203125" customWidth="1"/>
    <col min="4" max="4" width="16.88671875" customWidth="1"/>
    <col min="5" max="5" width="22.109375" bestFit="1" customWidth="1"/>
    <col min="6" max="6" width="14.109375" customWidth="1"/>
    <col min="8" max="8" width="13.44140625" customWidth="1"/>
    <col min="11" max="11" width="4.77734375" customWidth="1"/>
  </cols>
  <sheetData>
    <row r="1" spans="1:10" ht="26.4" x14ac:dyDescent="0.55000000000000004">
      <c r="B1" s="16"/>
      <c r="E1" s="48" t="s">
        <v>50</v>
      </c>
      <c r="F1" s="49"/>
      <c r="G1" s="49"/>
      <c r="H1" s="49"/>
      <c r="I1" s="49"/>
      <c r="J1" s="49"/>
    </row>
    <row r="2" spans="1:10" ht="15.6" x14ac:dyDescent="0.3">
      <c r="A2" s="46" t="s">
        <v>40</v>
      </c>
      <c r="B2" s="46"/>
      <c r="C2" s="47" t="s">
        <v>11</v>
      </c>
      <c r="D2" s="47"/>
      <c r="E2" s="17"/>
      <c r="F2" s="14"/>
      <c r="G2" s="14"/>
    </row>
    <row r="3" spans="1:10" ht="14.4" customHeight="1" x14ac:dyDescent="0.3">
      <c r="A3" s="41">
        <f>SUM(TblIncome[Amount])</f>
        <v>0</v>
      </c>
      <c r="B3" s="41"/>
      <c r="C3" s="41">
        <f>A3-A6</f>
        <v>0</v>
      </c>
      <c r="D3" s="41"/>
      <c r="E3" s="14"/>
      <c r="F3" s="14"/>
      <c r="G3" s="14"/>
    </row>
    <row r="4" spans="1:10" ht="15.6" customHeight="1" x14ac:dyDescent="0.3">
      <c r="A4" s="41"/>
      <c r="B4" s="41"/>
      <c r="C4" s="41"/>
      <c r="D4" s="41"/>
      <c r="E4" s="43" t="s">
        <v>42</v>
      </c>
      <c r="F4" s="43"/>
      <c r="G4" s="45" t="s">
        <v>52</v>
      </c>
      <c r="H4" s="45"/>
    </row>
    <row r="5" spans="1:10" ht="15.6" x14ac:dyDescent="0.3">
      <c r="A5" s="43" t="s">
        <v>41</v>
      </c>
      <c r="B5" s="43"/>
      <c r="C5" s="47" t="s">
        <v>43</v>
      </c>
      <c r="D5" s="47"/>
      <c r="E5" s="44">
        <f>COUNTA(TblExpenses[Amount])</f>
        <v>0</v>
      </c>
      <c r="F5" s="44"/>
      <c r="G5" s="41">
        <f>MAX(TblExpenses[Amount])</f>
        <v>0</v>
      </c>
      <c r="H5" s="41"/>
    </row>
    <row r="6" spans="1:10" x14ac:dyDescent="0.3">
      <c r="A6" s="41">
        <f>SUM(TblExpenses[Amount])</f>
        <v>0</v>
      </c>
      <c r="B6" s="42"/>
      <c r="C6" s="41">
        <f>SUM(TblBudget[Variance])</f>
        <v>0</v>
      </c>
      <c r="D6" s="42"/>
      <c r="E6" s="44"/>
      <c r="F6" s="44"/>
      <c r="G6" s="41"/>
      <c r="H6" s="41"/>
    </row>
    <row r="7" spans="1:10" x14ac:dyDescent="0.3">
      <c r="A7" s="42"/>
      <c r="B7" s="42"/>
      <c r="C7" s="42"/>
      <c r="D7" s="42"/>
      <c r="E7" s="14"/>
      <c r="F7" s="14"/>
    </row>
    <row r="8" spans="1:10" x14ac:dyDescent="0.3">
      <c r="A8" s="14"/>
      <c r="B8" s="14"/>
      <c r="C8" s="14"/>
      <c r="D8" s="14"/>
      <c r="E8" s="14"/>
      <c r="F8" s="14"/>
    </row>
    <row r="9" spans="1:10" x14ac:dyDescent="0.3">
      <c r="A9" s="14"/>
      <c r="B9" s="14"/>
      <c r="C9" s="14"/>
      <c r="D9" s="14"/>
      <c r="E9" s="14"/>
      <c r="F9" s="15"/>
    </row>
  </sheetData>
  <mergeCells count="13">
    <mergeCell ref="E1:J1"/>
    <mergeCell ref="A6:B7"/>
    <mergeCell ref="A5:B5"/>
    <mergeCell ref="A2:B2"/>
    <mergeCell ref="A3:B4"/>
    <mergeCell ref="C2:D2"/>
    <mergeCell ref="C3:D4"/>
    <mergeCell ref="C5:D5"/>
    <mergeCell ref="C6:D7"/>
    <mergeCell ref="E4:F4"/>
    <mergeCell ref="E5:F6"/>
    <mergeCell ref="G4:H4"/>
    <mergeCell ref="G5:H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E45EB-8EC9-42F9-AB10-BFB03A62CE12}">
  <sheetPr codeName="Sheet3">
    <tabColor rgb="FF00B050"/>
  </sheetPr>
  <dimension ref="A1:H11"/>
  <sheetViews>
    <sheetView workbookViewId="0">
      <selection activeCell="F11" sqref="F11"/>
    </sheetView>
  </sheetViews>
  <sheetFormatPr defaultRowHeight="14.4" x14ac:dyDescent="0.3"/>
  <cols>
    <col min="1" max="1" width="14.5546875" customWidth="1"/>
    <col min="2" max="2" width="13.109375" customWidth="1"/>
    <col min="5" max="5" width="15.5546875" bestFit="1" customWidth="1"/>
    <col min="6" max="6" width="14.21875" customWidth="1"/>
  </cols>
  <sheetData>
    <row r="1" spans="1:8" x14ac:dyDescent="0.3">
      <c r="A1" s="53" t="s">
        <v>84</v>
      </c>
      <c r="B1" s="54"/>
      <c r="C1" s="54"/>
      <c r="D1" s="54"/>
      <c r="E1" s="54"/>
      <c r="F1" s="54"/>
      <c r="G1" s="54"/>
      <c r="H1" s="54"/>
    </row>
    <row r="2" spans="1:8" x14ac:dyDescent="0.3">
      <c r="A2" s="54"/>
      <c r="B2" s="54"/>
      <c r="C2" s="54"/>
      <c r="D2" s="54"/>
      <c r="E2" s="54"/>
      <c r="F2" s="54"/>
      <c r="G2" s="54"/>
      <c r="H2" s="54"/>
    </row>
    <row r="5" spans="1:8" ht="15" thickBot="1" x14ac:dyDescent="0.35">
      <c r="A5" s="14" t="s">
        <v>85</v>
      </c>
      <c r="E5" s="14" t="s">
        <v>87</v>
      </c>
    </row>
    <row r="6" spans="1:8" x14ac:dyDescent="0.3">
      <c r="A6" t="s">
        <v>86</v>
      </c>
      <c r="B6" s="57"/>
      <c r="E6" t="s">
        <v>31</v>
      </c>
      <c r="F6" s="57"/>
    </row>
    <row r="7" spans="1:8" x14ac:dyDescent="0.3">
      <c r="A7" t="s">
        <v>32</v>
      </c>
      <c r="B7" s="55"/>
      <c r="E7" t="s">
        <v>36</v>
      </c>
      <c r="F7" s="55"/>
    </row>
    <row r="8" spans="1:8" x14ac:dyDescent="0.3">
      <c r="A8" t="s">
        <v>33</v>
      </c>
      <c r="B8" s="55"/>
      <c r="E8" t="s">
        <v>33</v>
      </c>
      <c r="F8" s="55"/>
    </row>
    <row r="9" spans="1:8" ht="15" thickBot="1" x14ac:dyDescent="0.35">
      <c r="A9" t="s">
        <v>44</v>
      </c>
      <c r="B9" s="58"/>
      <c r="E9" t="s">
        <v>44</v>
      </c>
      <c r="F9" s="59"/>
    </row>
    <row r="10" spans="1:8" x14ac:dyDescent="0.3">
      <c r="E10" t="s">
        <v>38</v>
      </c>
      <c r="F10" s="55"/>
    </row>
    <row r="11" spans="1:8" ht="15" thickBot="1" x14ac:dyDescent="0.35">
      <c r="E11" t="s">
        <v>22</v>
      </c>
      <c r="F11" s="56"/>
    </row>
  </sheetData>
  <mergeCells count="1">
    <mergeCell ref="A1:H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AddIncome">
                <anchor moveWithCells="1">
                  <from>
                    <xdr:col>0</xdr:col>
                    <xdr:colOff>38100</xdr:colOff>
                    <xdr:row>10</xdr:row>
                    <xdr:rowOff>152400</xdr:rowOff>
                  </from>
                  <to>
                    <xdr:col>0</xdr:col>
                    <xdr:colOff>922020</xdr:colOff>
                    <xdr:row>12</xdr:row>
                    <xdr:rowOff>0</xdr:rowOff>
                  </to>
                </anchor>
              </controlPr>
            </control>
          </mc:Choice>
        </mc:AlternateContent>
        <mc:AlternateContent xmlns:mc="http://schemas.openxmlformats.org/markup-compatibility/2006">
          <mc:Choice Requires="x14">
            <control shapeId="8199" r:id="rId4" name="Button 7">
              <controlPr defaultSize="0" print="0" autoFill="0" autoPict="0" macro="[0]!AddExpense">
                <anchor moveWithCells="1">
                  <from>
                    <xdr:col>4</xdr:col>
                    <xdr:colOff>22860</xdr:colOff>
                    <xdr:row>11</xdr:row>
                    <xdr:rowOff>175260</xdr:rowOff>
                  </from>
                  <to>
                    <xdr:col>5</xdr:col>
                    <xdr:colOff>0</xdr:colOff>
                    <xdr:row>13</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BAE7C3C5-CB35-4598-B0A7-B75698549B62}">
          <x14:formula1>
            <xm:f>Categories!$B$2:$B$8</xm:f>
          </x14:formula1>
          <xm:sqref>B7</xm:sqref>
        </x14:dataValidation>
        <x14:dataValidation type="list" allowBlank="1" showInputMessage="1" showErrorMessage="1" xr:uid="{10E6F280-97B5-4CC3-B434-174B6647BE2D}">
          <x14:formula1>
            <xm:f>Categories!$A$2:$A$15</xm:f>
          </x14:formula1>
          <xm:sqref>F7</xm:sqref>
        </x14:dataValidation>
        <x14:dataValidation type="list" allowBlank="1" showInputMessage="1" showErrorMessage="1" xr:uid="{5E37CA61-20B0-4482-959E-36FF6239194C}">
          <x14:formula1>
            <xm:f>Categories!$D$2:$D$3</xm:f>
          </x14:formula1>
          <xm:sqref>F10</xm:sqref>
        </x14:dataValidation>
        <x14:dataValidation type="list" allowBlank="1" showInputMessage="1" showErrorMessage="1" xr:uid="{4FE307E3-B0B2-4398-AAC6-57CA652CF969}">
          <x14:formula1>
            <xm:f>Categories!$C$2:$C$6</xm:f>
          </x14:formula1>
          <xm:sqref>F11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90B02-AC0D-4932-AF2B-EC7FA7B6487F}">
  <sheetPr codeName="Sheet4">
    <tabColor theme="9" tint="-0.499984740745262"/>
  </sheetPr>
  <dimension ref="A1:K2"/>
  <sheetViews>
    <sheetView workbookViewId="0">
      <pane ySplit="1" topLeftCell="A2" activePane="bottomLeft" state="frozen"/>
      <selection pane="bottomLeft" activeCell="A3" sqref="A3:XFD3"/>
    </sheetView>
  </sheetViews>
  <sheetFormatPr defaultRowHeight="14.4" x14ac:dyDescent="0.3"/>
  <cols>
    <col min="1" max="1" width="21.109375" style="19" customWidth="1"/>
    <col min="2" max="2" width="25.44140625" style="21" customWidth="1"/>
    <col min="3" max="3" width="22.21875" style="21" customWidth="1"/>
    <col min="4" max="4" width="20.21875" style="23" customWidth="1"/>
    <col min="5" max="5" width="15.6640625" customWidth="1"/>
    <col min="6" max="6" width="18.109375" customWidth="1"/>
    <col min="11" max="11" width="10.109375" customWidth="1"/>
  </cols>
  <sheetData>
    <row r="1" spans="1:11" ht="15.6" x14ac:dyDescent="0.3">
      <c r="A1" s="18" t="s">
        <v>31</v>
      </c>
      <c r="B1" s="20" t="s">
        <v>32</v>
      </c>
      <c r="C1" s="20" t="s">
        <v>33</v>
      </c>
      <c r="D1" s="22" t="s">
        <v>44</v>
      </c>
      <c r="E1" s="7" t="s">
        <v>34</v>
      </c>
      <c r="F1" s="7" t="s">
        <v>35</v>
      </c>
    </row>
    <row r="2" spans="1:11" x14ac:dyDescent="0.3">
      <c r="E2" t="str">
        <f>TEXT(TblIncome[[#This Row],[Date]],"mmmm")</f>
        <v>January</v>
      </c>
      <c r="F2">
        <f>YEAR(TblIncome[[#This Row],[Date]])</f>
        <v>1900</v>
      </c>
      <c r="J2" s="52" t="s">
        <v>81</v>
      </c>
      <c r="K2" s="52"/>
    </row>
  </sheetData>
  <mergeCells count="1">
    <mergeCell ref="J2:K2"/>
  </mergeCells>
  <hyperlinks>
    <hyperlink ref="J2:K2" location="Dashboard!A1" display="🏠 Go to Dashboard" xr:uid="{75B8AE7A-52C4-483B-9D9A-2F6F2457D1AA}"/>
  </hyperlink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DBF02944-DC93-4BCA-9767-CC26E99EB374}">
          <x14:formula1>
            <xm:f>Categories!$B$2:$B$8</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3205C-0696-4DFE-BC01-7D21EBABBAB7}">
  <sheetPr codeName="Sheet5">
    <tabColor theme="7"/>
  </sheetPr>
  <dimension ref="A1:K2"/>
  <sheetViews>
    <sheetView workbookViewId="0">
      <pane ySplit="1" topLeftCell="A2" activePane="bottomLeft" state="frozen"/>
      <selection pane="bottomLeft" activeCell="A3" sqref="A3:XFD3"/>
    </sheetView>
  </sheetViews>
  <sheetFormatPr defaultRowHeight="14.4" x14ac:dyDescent="0.3"/>
  <cols>
    <col min="1" max="1" width="18.21875" style="19" customWidth="1"/>
    <col min="2" max="2" width="22.21875" style="21" customWidth="1"/>
    <col min="3" max="3" width="25.109375" style="21" customWidth="1"/>
    <col min="4" max="4" width="14.77734375" style="23" customWidth="1"/>
    <col min="5" max="5" width="15.88671875" style="21" customWidth="1"/>
    <col min="6" max="6" width="19.109375" style="21" customWidth="1"/>
    <col min="7" max="7" width="11.77734375" customWidth="1"/>
    <col min="8" max="8" width="16.21875" customWidth="1"/>
    <col min="11" max="11" width="9.33203125" customWidth="1"/>
  </cols>
  <sheetData>
    <row r="1" spans="1:11" ht="15.6" x14ac:dyDescent="0.3">
      <c r="A1" s="24" t="s">
        <v>31</v>
      </c>
      <c r="B1" s="25" t="s">
        <v>36</v>
      </c>
      <c r="C1" s="25" t="s">
        <v>37</v>
      </c>
      <c r="D1" s="26" t="s">
        <v>44</v>
      </c>
      <c r="E1" s="25" t="s">
        <v>38</v>
      </c>
      <c r="F1" s="25" t="s">
        <v>22</v>
      </c>
      <c r="G1" s="9" t="s">
        <v>34</v>
      </c>
      <c r="H1" s="9" t="s">
        <v>35</v>
      </c>
    </row>
    <row r="2" spans="1:11" x14ac:dyDescent="0.3">
      <c r="G2" t="str">
        <f>TEXT(TblExpenses[[#This Row],[Date]],"mmmm")</f>
        <v>January</v>
      </c>
      <c r="H2">
        <f>YEAR(TblExpenses[[#This Row],[Date]])</f>
        <v>1900</v>
      </c>
      <c r="J2" s="52" t="s">
        <v>82</v>
      </c>
      <c r="K2" s="52"/>
    </row>
  </sheetData>
  <mergeCells count="1">
    <mergeCell ref="J2:K2"/>
  </mergeCells>
  <hyperlinks>
    <hyperlink ref="J2:K2" location="Dashboard!A1" display="🏠Go to Dashboard" xr:uid="{005CA8CD-66F9-4BF7-B0C8-22894003DAB1}"/>
  </hyperlink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85621919-BDD9-4E6F-B5F2-4E18A1092379}">
          <x14:formula1>
            <xm:f>Categories!$A$2:$A$15</xm:f>
          </x14:formula1>
          <xm:sqref>B2</xm:sqref>
        </x14:dataValidation>
        <x14:dataValidation type="list" allowBlank="1" showInputMessage="1" showErrorMessage="1" xr:uid="{33A6E38D-C4CF-4D55-8631-CA2204CAA319}">
          <x14:formula1>
            <xm:f>Categories!$D$2:$D$3</xm:f>
          </x14:formula1>
          <xm:sqref>E2</xm:sqref>
        </x14:dataValidation>
        <x14:dataValidation type="list" allowBlank="1" showInputMessage="1" showErrorMessage="1" xr:uid="{4C358C55-C8EF-45A4-91D6-65CC10144F00}">
          <x14:formula1>
            <xm:f>Categories!$C$2:$C$6</xm:f>
          </x14:formula1>
          <xm:sqref>F2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2EFB0-CEA0-4EDF-A587-90EAAE440E3F}">
  <sheetPr codeName="Sheet6">
    <tabColor rgb="FF7030A0"/>
  </sheetPr>
  <dimension ref="A1:I15"/>
  <sheetViews>
    <sheetView zoomScaleNormal="100" workbookViewId="0">
      <pane ySplit="1" topLeftCell="A2" activePane="bottomLeft" state="frozen"/>
      <selection pane="bottomLeft" activeCell="D20" sqref="D20"/>
    </sheetView>
  </sheetViews>
  <sheetFormatPr defaultRowHeight="14.4" x14ac:dyDescent="0.3"/>
  <cols>
    <col min="1" max="1" width="21.77734375" customWidth="1"/>
    <col min="2" max="2" width="15.21875" style="8" customWidth="1"/>
    <col min="3" max="3" width="17.21875" style="8" customWidth="1"/>
    <col min="4" max="4" width="17.5546875" style="8" customWidth="1"/>
    <col min="5" max="5" width="14.6640625" customWidth="1"/>
    <col min="9" max="9" width="10.21875" customWidth="1"/>
  </cols>
  <sheetData>
    <row r="1" spans="1:9" x14ac:dyDescent="0.3">
      <c r="A1" s="10" t="s">
        <v>36</v>
      </c>
      <c r="B1" s="11" t="s">
        <v>47</v>
      </c>
      <c r="C1" s="11" t="s">
        <v>46</v>
      </c>
      <c r="D1" s="11" t="s">
        <v>45</v>
      </c>
      <c r="E1" s="10" t="s">
        <v>39</v>
      </c>
    </row>
    <row r="2" spans="1:9" x14ac:dyDescent="0.3">
      <c r="A2" s="5" t="s">
        <v>1</v>
      </c>
      <c r="C2" s="8">
        <f>SUMIFS(TblExpenses[Amount],TblExpenses[Expense Category],TblBudget[[#This Row],[Expense Category]])</f>
        <v>0</v>
      </c>
      <c r="D2" s="8">
        <f>TblBudget[[#This Row],[Budget]]-TblBudget[[#This Row],[Actual]]</f>
        <v>0</v>
      </c>
      <c r="E2" t="str">
        <f>IF(TblBudget[[#This Row],[Variance]]&lt;0,"Over Budget", "Within Budget")</f>
        <v>Within Budget</v>
      </c>
      <c r="H2" s="52" t="s">
        <v>82</v>
      </c>
      <c r="I2" s="52"/>
    </row>
    <row r="3" spans="1:9" x14ac:dyDescent="0.3">
      <c r="A3" s="6" t="s">
        <v>2</v>
      </c>
      <c r="C3" s="8">
        <f>SUMIFS(TblExpenses[Amount],TblExpenses[Expense Category],TblBudget[[#This Row],[Expense Category]])</f>
        <v>0</v>
      </c>
      <c r="D3" s="8">
        <f>TblBudget[[#This Row],[Budget]]-TblBudget[[#This Row],[Actual]]</f>
        <v>0</v>
      </c>
      <c r="E3" t="str">
        <f>IF(TblBudget[[#This Row],[Variance]]&lt;0,"Over Budget", "Within Budget")</f>
        <v>Within Budget</v>
      </c>
    </row>
    <row r="4" spans="1:9" x14ac:dyDescent="0.3">
      <c r="A4" s="5" t="s">
        <v>3</v>
      </c>
      <c r="C4" s="8">
        <f>SUMIFS(TblExpenses[Amount],TblExpenses[Expense Category],TblBudget[[#This Row],[Expense Category]])</f>
        <v>0</v>
      </c>
      <c r="D4" s="8">
        <f>TblBudget[[#This Row],[Budget]]-TblBudget[[#This Row],[Actual]]</f>
        <v>0</v>
      </c>
      <c r="E4" t="str">
        <f>IF(TblBudget[[#This Row],[Variance]]&lt;0,"Over Budget", "Within Budget")</f>
        <v>Within Budget</v>
      </c>
    </row>
    <row r="5" spans="1:9" x14ac:dyDescent="0.3">
      <c r="A5" s="6" t="s">
        <v>4</v>
      </c>
      <c r="C5" s="8">
        <f>SUMIFS(TblExpenses[Amount],TblExpenses[Expense Category],TblBudget[[#This Row],[Expense Category]])</f>
        <v>0</v>
      </c>
      <c r="D5" s="8">
        <f>TblBudget[[#This Row],[Budget]]-TblBudget[[#This Row],[Actual]]</f>
        <v>0</v>
      </c>
      <c r="E5" t="str">
        <f>IF(TblBudget[[#This Row],[Variance]]&lt;0,"Over Budget", "Within Budget")</f>
        <v>Within Budget</v>
      </c>
    </row>
    <row r="6" spans="1:9" x14ac:dyDescent="0.3">
      <c r="A6" s="5" t="s">
        <v>5</v>
      </c>
      <c r="C6" s="8">
        <f>SUMIFS(TblExpenses[Amount],TblExpenses[Expense Category],TblBudget[[#This Row],[Expense Category]])</f>
        <v>0</v>
      </c>
      <c r="D6" s="8">
        <f>TblBudget[[#This Row],[Budget]]-TblBudget[[#This Row],[Actual]]</f>
        <v>0</v>
      </c>
      <c r="E6" t="str">
        <f>IF(TblBudget[[#This Row],[Variance]]&lt;0,"Over Budget", "Within Budget")</f>
        <v>Within Budget</v>
      </c>
    </row>
    <row r="7" spans="1:9" x14ac:dyDescent="0.3">
      <c r="A7" s="6" t="s">
        <v>6</v>
      </c>
      <c r="C7" s="8">
        <f>SUMIFS(TblExpenses[Amount],TblExpenses[Expense Category],TblBudget[[#This Row],[Expense Category]])</f>
        <v>0</v>
      </c>
      <c r="D7" s="8">
        <f>TblBudget[[#This Row],[Budget]]-TblBudget[[#This Row],[Actual]]</f>
        <v>0</v>
      </c>
      <c r="E7" t="str">
        <f>IF(TblBudget[[#This Row],[Variance]]&lt;0,"Over Budget", "Within Budget")</f>
        <v>Within Budget</v>
      </c>
    </row>
    <row r="8" spans="1:9" x14ac:dyDescent="0.3">
      <c r="A8" s="5" t="s">
        <v>7</v>
      </c>
      <c r="C8" s="8">
        <f>SUMIFS(TblExpenses[Amount],TblExpenses[Expense Category],TblBudget[[#This Row],[Expense Category]])</f>
        <v>0</v>
      </c>
      <c r="D8" s="8">
        <f>TblBudget[[#This Row],[Budget]]-TblBudget[[#This Row],[Actual]]</f>
        <v>0</v>
      </c>
      <c r="E8" t="str">
        <f>IF(TblBudget[[#This Row],[Variance]]&lt;0,"Over Budget", "Within Budget")</f>
        <v>Within Budget</v>
      </c>
    </row>
    <row r="9" spans="1:9" x14ac:dyDescent="0.3">
      <c r="A9" s="6" t="s">
        <v>8</v>
      </c>
      <c r="C9" s="8">
        <f>SUMIFS(TblExpenses[Amount],TblExpenses[Expense Category],TblBudget[[#This Row],[Expense Category]])</f>
        <v>0</v>
      </c>
      <c r="D9" s="8">
        <f>TblBudget[[#This Row],[Budget]]-TblBudget[[#This Row],[Actual]]</f>
        <v>0</v>
      </c>
      <c r="E9" t="str">
        <f>IF(TblBudget[[#This Row],[Variance]]&lt;0,"Over Budget", "Within Budget")</f>
        <v>Within Budget</v>
      </c>
    </row>
    <row r="10" spans="1:9" x14ac:dyDescent="0.3">
      <c r="A10" s="5" t="s">
        <v>9</v>
      </c>
      <c r="C10" s="8">
        <f>SUMIFS(TblExpenses[Amount],TblExpenses[Expense Category],TblBudget[[#This Row],[Expense Category]])</f>
        <v>0</v>
      </c>
      <c r="D10" s="8">
        <f>TblBudget[[#This Row],[Budget]]-TblBudget[[#This Row],[Actual]]</f>
        <v>0</v>
      </c>
      <c r="E10" t="str">
        <f>IF(TblBudget[[#This Row],[Variance]]&lt;0,"Over Budget", "Within Budget")</f>
        <v>Within Budget</v>
      </c>
    </row>
    <row r="11" spans="1:9" x14ac:dyDescent="0.3">
      <c r="A11" s="6" t="s">
        <v>10</v>
      </c>
      <c r="C11" s="8">
        <f>SUMIFS(TblExpenses[Amount],TblExpenses[Expense Category],TblBudget[[#This Row],[Expense Category]])</f>
        <v>0</v>
      </c>
      <c r="D11" s="8">
        <f>TblBudget[[#This Row],[Budget]]-TblBudget[[#This Row],[Actual]]</f>
        <v>0</v>
      </c>
      <c r="E11" t="str">
        <f>IF(TblBudget[[#This Row],[Variance]]&lt;0,"Over Budget", "Within Budget")</f>
        <v>Within Budget</v>
      </c>
    </row>
    <row r="12" spans="1:9" x14ac:dyDescent="0.3">
      <c r="A12" s="5" t="s">
        <v>11</v>
      </c>
      <c r="C12" s="8">
        <f>SUMIFS(TblExpenses[Amount],TblExpenses[Expense Category],TblBudget[[#This Row],[Expense Category]])</f>
        <v>0</v>
      </c>
      <c r="D12" s="8">
        <f>TblBudget[[#This Row],[Budget]]-TblBudget[[#This Row],[Actual]]</f>
        <v>0</v>
      </c>
      <c r="E12" t="str">
        <f>IF(TblBudget[[#This Row],[Variance]]&lt;0,"Over Budget", "Within Budget")</f>
        <v>Within Budget</v>
      </c>
    </row>
    <row r="13" spans="1:9" x14ac:dyDescent="0.3">
      <c r="A13" s="6" t="s">
        <v>12</v>
      </c>
      <c r="C13" s="8">
        <f>SUMIFS(TblExpenses[Amount],TblExpenses[Expense Category],TblBudget[[#This Row],[Expense Category]])</f>
        <v>0</v>
      </c>
      <c r="D13" s="8">
        <f>TblBudget[[#This Row],[Budget]]-TblBudget[[#This Row],[Actual]]</f>
        <v>0</v>
      </c>
      <c r="E13" t="str">
        <f>IF(TblBudget[[#This Row],[Variance]]&lt;0,"Over Budget", "Within Budget")</f>
        <v>Within Budget</v>
      </c>
    </row>
    <row r="14" spans="1:9" x14ac:dyDescent="0.3">
      <c r="A14" s="5" t="s">
        <v>13</v>
      </c>
      <c r="C14" s="8">
        <f>SUMIFS(TblExpenses[Amount],TblExpenses[Expense Category],TblBudget[[#This Row],[Expense Category]])</f>
        <v>0</v>
      </c>
      <c r="D14" s="8">
        <f>TblBudget[[#This Row],[Budget]]-TblBudget[[#This Row],[Actual]]</f>
        <v>0</v>
      </c>
      <c r="E14" t="str">
        <f>IF(TblBudget[[#This Row],[Variance]]&lt;0,"Over Budget", "Within Budget")</f>
        <v>Within Budget</v>
      </c>
    </row>
    <row r="15" spans="1:9" x14ac:dyDescent="0.3">
      <c r="A15" s="6" t="s">
        <v>14</v>
      </c>
      <c r="C15" s="8">
        <f>SUMIFS(TblExpenses[Amount],TblExpenses[Expense Category],TblBudget[[#This Row],[Expense Category]])</f>
        <v>0</v>
      </c>
      <c r="D15" s="8">
        <f>TblBudget[[#This Row],[Budget]]-TblBudget[[#This Row],[Actual]]</f>
        <v>0</v>
      </c>
      <c r="E15" t="str">
        <f>IF(TblBudget[[#This Row],[Variance]]&lt;0,"Over Budget", "Within Budget")</f>
        <v>Within Budget</v>
      </c>
    </row>
  </sheetData>
  <mergeCells count="1">
    <mergeCell ref="H2:I2"/>
  </mergeCells>
  <conditionalFormatting sqref="E2:E15">
    <cfRule type="containsText" dxfId="1" priority="1" operator="containsText" text="Over Budget">
      <formula>NOT(ISERROR(SEARCH("Over Budget",E2)))</formula>
    </cfRule>
    <cfRule type="containsText" dxfId="0" priority="2" operator="containsText" text="Within Budget">
      <formula>NOT(ISERROR(SEARCH("Within Budget",E2)))</formula>
    </cfRule>
  </conditionalFormatting>
  <hyperlinks>
    <hyperlink ref="H2:I2" location="Dashboard!A1" display="🏠Go to Dashboard" xr:uid="{CC15363B-9BAF-4A98-B83F-AE0A6BEF7859}"/>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9D320-D541-4AD4-B4E9-2EE769230383}">
  <sheetPr codeName="Sheet7">
    <tabColor theme="5" tint="-0.499984740745262"/>
  </sheetPr>
  <dimension ref="A1:M17"/>
  <sheetViews>
    <sheetView workbookViewId="0">
      <selection activeCell="D22" sqref="D22"/>
    </sheetView>
  </sheetViews>
  <sheetFormatPr defaultRowHeight="14.4" x14ac:dyDescent="0.3"/>
  <cols>
    <col min="1" max="1" width="18.21875" bestFit="1" customWidth="1"/>
    <col min="2" max="2" width="13.44140625" bestFit="1" customWidth="1"/>
    <col min="5" max="5" width="14.44140625" bestFit="1" customWidth="1"/>
    <col min="7" max="7" width="10.77734375" bestFit="1" customWidth="1"/>
    <col min="8" max="8" width="16.44140625" bestFit="1" customWidth="1"/>
  </cols>
  <sheetData>
    <row r="1" spans="1:13" x14ac:dyDescent="0.3">
      <c r="A1" s="12" t="s">
        <v>36</v>
      </c>
      <c r="B1" t="s">
        <v>41</v>
      </c>
      <c r="G1" s="12" t="s">
        <v>53</v>
      </c>
      <c r="H1" t="s">
        <v>49</v>
      </c>
      <c r="L1" s="52" t="s">
        <v>82</v>
      </c>
      <c r="M1" s="52"/>
    </row>
    <row r="2" spans="1:13" x14ac:dyDescent="0.3">
      <c r="A2" s="13" t="s">
        <v>83</v>
      </c>
      <c r="B2" s="8"/>
      <c r="G2" s="13" t="s">
        <v>51</v>
      </c>
      <c r="H2" s="8"/>
    </row>
    <row r="3" spans="1:13" x14ac:dyDescent="0.3">
      <c r="A3" s="13" t="s">
        <v>48</v>
      </c>
      <c r="B3" s="8"/>
      <c r="G3" s="13" t="s">
        <v>48</v>
      </c>
      <c r="H3" s="8"/>
    </row>
    <row r="15" spans="1:13" x14ac:dyDescent="0.3">
      <c r="A15" s="13"/>
      <c r="B15" s="8"/>
    </row>
    <row r="16" spans="1:13" x14ac:dyDescent="0.3">
      <c r="A16" s="13"/>
      <c r="B16" s="8"/>
    </row>
    <row r="17" spans="1:2" x14ac:dyDescent="0.3">
      <c r="A17" s="13"/>
      <c r="B17" s="8"/>
    </row>
  </sheetData>
  <mergeCells count="1">
    <mergeCell ref="L1:M1"/>
  </mergeCells>
  <hyperlinks>
    <hyperlink ref="L1:M1" location="Dashboard!A1" display="🏠Go to Dashboard" xr:uid="{4D717331-A9C0-40E2-AF93-0868C655652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BA6A7-AD70-45E3-A30B-A8BA856E7F3F}">
  <sheetPr codeName="Sheet8">
    <tabColor theme="2" tint="-0.749992370372631"/>
  </sheetPr>
  <dimension ref="A1:H15"/>
  <sheetViews>
    <sheetView workbookViewId="0">
      <selection activeCell="G1" sqref="G1:H1"/>
    </sheetView>
  </sheetViews>
  <sheetFormatPr defaultRowHeight="14.4" x14ac:dyDescent="0.3"/>
  <cols>
    <col min="1" max="1" width="23" customWidth="1"/>
    <col min="2" max="2" width="21.21875" customWidth="1"/>
    <col min="3" max="3" width="21.33203125" customWidth="1"/>
    <col min="4" max="4" width="18.5546875" customWidth="1"/>
    <col min="8" max="8" width="10.5546875" customWidth="1"/>
  </cols>
  <sheetData>
    <row r="1" spans="1:8" x14ac:dyDescent="0.3">
      <c r="A1" s="1" t="s">
        <v>0</v>
      </c>
      <c r="B1" s="2" t="s">
        <v>15</v>
      </c>
      <c r="C1" s="3" t="s">
        <v>22</v>
      </c>
      <c r="D1" s="4" t="s">
        <v>30</v>
      </c>
      <c r="G1" s="52" t="s">
        <v>82</v>
      </c>
      <c r="H1" s="52"/>
    </row>
    <row r="2" spans="1:8" x14ac:dyDescent="0.3">
      <c r="A2" t="s">
        <v>1</v>
      </c>
      <c r="B2" t="s">
        <v>16</v>
      </c>
      <c r="C2" t="s">
        <v>23</v>
      </c>
      <c r="D2" t="s">
        <v>28</v>
      </c>
    </row>
    <row r="3" spans="1:8" x14ac:dyDescent="0.3">
      <c r="A3" t="s">
        <v>2</v>
      </c>
      <c r="B3" t="s">
        <v>17</v>
      </c>
      <c r="C3" t="s">
        <v>24</v>
      </c>
      <c r="D3" t="s">
        <v>29</v>
      </c>
    </row>
    <row r="4" spans="1:8" x14ac:dyDescent="0.3">
      <c r="A4" t="s">
        <v>3</v>
      </c>
      <c r="B4" t="s">
        <v>18</v>
      </c>
      <c r="C4" t="s">
        <v>25</v>
      </c>
    </row>
    <row r="5" spans="1:8" x14ac:dyDescent="0.3">
      <c r="A5" t="s">
        <v>4</v>
      </c>
      <c r="B5" t="s">
        <v>19</v>
      </c>
      <c r="C5" t="s">
        <v>26</v>
      </c>
    </row>
    <row r="6" spans="1:8" x14ac:dyDescent="0.3">
      <c r="A6" t="s">
        <v>5</v>
      </c>
      <c r="B6" t="s">
        <v>12</v>
      </c>
      <c r="C6" t="s">
        <v>27</v>
      </c>
    </row>
    <row r="7" spans="1:8" x14ac:dyDescent="0.3">
      <c r="A7" t="s">
        <v>6</v>
      </c>
      <c r="B7" t="s">
        <v>20</v>
      </c>
    </row>
    <row r="8" spans="1:8" x14ac:dyDescent="0.3">
      <c r="A8" t="s">
        <v>7</v>
      </c>
      <c r="B8" t="s">
        <v>21</v>
      </c>
    </row>
    <row r="9" spans="1:8" x14ac:dyDescent="0.3">
      <c r="A9" t="s">
        <v>8</v>
      </c>
    </row>
    <row r="10" spans="1:8" x14ac:dyDescent="0.3">
      <c r="A10" t="s">
        <v>9</v>
      </c>
    </row>
    <row r="11" spans="1:8" x14ac:dyDescent="0.3">
      <c r="A11" t="s">
        <v>10</v>
      </c>
    </row>
    <row r="12" spans="1:8" x14ac:dyDescent="0.3">
      <c r="A12" t="s">
        <v>11</v>
      </c>
    </row>
    <row r="13" spans="1:8" x14ac:dyDescent="0.3">
      <c r="A13" t="s">
        <v>12</v>
      </c>
    </row>
    <row r="14" spans="1:8" x14ac:dyDescent="0.3">
      <c r="A14" t="s">
        <v>13</v>
      </c>
    </row>
    <row r="15" spans="1:8" x14ac:dyDescent="0.3">
      <c r="A15" t="s">
        <v>14</v>
      </c>
    </row>
  </sheetData>
  <mergeCells count="1">
    <mergeCell ref="G1:H1"/>
  </mergeCells>
  <hyperlinks>
    <hyperlink ref="G1:H1" location="Dashboard!A1" display="🏠Go to Dashboard" xr:uid="{1B5F9565-E93B-4570-8DB9-1A5E535B0D16}"/>
  </hyperlink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Dashboard</vt:lpstr>
      <vt:lpstr>Data Entry</vt:lpstr>
      <vt:lpstr>Income</vt:lpstr>
      <vt:lpstr>Expenses</vt:lpstr>
      <vt:lpstr>Budget</vt:lpstr>
      <vt:lpstr>Pivot Table</vt:lpstr>
      <vt:lpstr>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Covenant Kolawole</dc:creator>
  <cp:lastModifiedBy>Covenant Kolawole</cp:lastModifiedBy>
  <dcterms:created xsi:type="dcterms:W3CDTF">2026-07-02T10:36:05Z</dcterms:created>
  <dcterms:modified xsi:type="dcterms:W3CDTF">2026-07-03T00:59:57Z</dcterms:modified>
</cp:coreProperties>
</file>